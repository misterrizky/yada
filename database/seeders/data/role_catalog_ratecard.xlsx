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94507103d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13a0c9f54b694258"/>
    <x:sheet xmlns:r="http://schemas.openxmlformats.org/officeDocument/2006/relationships" name="Role Catalog (1)" sheetId="2" r:id="Rc417a715606a4195"/>
    <x:sheet xmlns:r="http://schemas.openxmlformats.org/officeDocument/2006/relationships" name="Role Catalog (2)" sheetId="3" r:id="R969d3ac4741a442d"/>
  </x:sheets>
  <x:definedNames>
    <x:definedName name="_xlnm._FilterDatabase" localSheetId="1" hidden="1">'Role Catalog (1)'!$A$1:$R$46</x:definedName>
    <x:definedName name="_xlnm._FilterDatabase" localSheetId="2" hidden="1">'Role Catalog (2)'!$A$1:$R$14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color rgb="000000FF"/>
    </x:font>
    <x:font>
      <x:b/>
      <x:color rgb="00FFFFFF"/>
    </x:font>
    <x:font>
      <x:b/>
      <x:sz val="12"/>
      <x:color rgb="001F4E79"/>
    </x:font>
    <x:font>
      <x:b/>
      <x:color rgb="001F4E79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9AA0A6"/>
      </x:left>
      <x:right style="thin">
        <x:color rgb="009AA0A6"/>
      </x:right>
      <x:top style="thin">
        <x:color rgb="009AA0A6"/>
      </x:top>
      <x:bottom style="thin">
        <x:color rgb="009AA0A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2" fillId="2" borderId="0" xfId="0" applyAlignment="1">
      <x:alignment horizontal="center" vertical="center"/>
    </x:xf>
    <x:xf numFmtId="0" fontId="0" fillId="0" borderId="1" xfId="0" applyAlignment="1">
      <x:alignment vertical="center"/>
    </x:xf>
    <x:xf numFmtId="3" fontId="1" fillId="0" borderId="1" xfId="0" applyAlignment="1">
      <x:alignment vertical="center"/>
    </x:xf>
    <x:xf numFmtId="2" fontId="1" fillId="0" borderId="1" xfId="0" applyAlignment="1">
      <x:alignment vertical="center"/>
    </x:xf>
    <x:xf numFmtId="1" fontId="1" fillId="0" borderId="1" xfId="0" applyAlignment="1">
      <x:alignment vertical="center"/>
    </x:xf>
    <x:xf numFmtId="0" fontId="3" fillId="0" borderId="0" xfId="0"/>
    <x:xf numFmtId="0" fontId="4" fillId="3" borderId="1" xfId="0" applyAlignment="1">
      <x:alignment horizontal="center"/>
    </x:xf>
    <x:xf numFmtId="2" fontId="0" fillId="0" borderId="1" xfId="0" applyAlignment="1">
      <x:alignment vertical="center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3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fd97b9c5d4481" /><Relationship Type="http://schemas.openxmlformats.org/officeDocument/2006/relationships/theme" Target="/xl/theme/theme1.xml" Id="Rc8600834224748fb" /><Relationship Type="http://schemas.openxmlformats.org/officeDocument/2006/relationships/sharedStrings" Target="/xl/sharedStrings.xml" Id="R8d064e4a8a1e4dc2" /><Relationship Type="http://schemas.openxmlformats.org/officeDocument/2006/relationships/worksheet" Target="/xl/worksheets/sheet1.xml" Id="R13a0c9f54b694258" /><Relationship Type="http://schemas.openxmlformats.org/officeDocument/2006/relationships/worksheet" Target="/xl/worksheets/sheet2.xml" Id="Rc417a715606a4195" /><Relationship Type="http://schemas.openxmlformats.org/officeDocument/2006/relationships/worksheet" Target="/xl/worksheets/sheet3.xml" Id="R969d3ac4741a442d" /></Relationships>
</file>

<file path=xl/tables/table1.xml><?xml version="1.0" encoding="utf-8"?>
<x:table xmlns:x="http://schemas.openxmlformats.org/spreadsheetml/2006/main" id="1" name="RoleCatalog1" displayName="RoleCatalog1" ref="A1:R46" headerRowCount="1">
  <x:autoFilter ref="A1:R46"/>
  <x:tableColumns count="18">
    <x:tableColumn id="1" name="Department"/>
    <x:tableColumn id="2" name="Role Family"/>
    <x:tableColumn id="3" name="Designation"/>
    <x:tableColumn id="4" name="Level"/>
    <x:tableColumn id="5" name="Job Summary"/>
    <x:tableColumn id="6" name="Key Responsibilities"/>
    <x:tableColumn id="7" name="Core Skills"/>
    <x:tableColumn id="8" name="Typical KPIs"/>
    <x:tableColumn id="9" name="Work Model"/>
    <x:tableColumn id="10" name="Employment Type"/>
    <x:tableColumn id="11" name="Career Band"/>
    <x:tableColumn id="12" name="Salary Mid (IDR/mo)"/>
    <x:tableColumn id="13" name="Salary Low (IDR/mo)"/>
    <x:tableColumn id="14" name="Salary High (IDR/mo)"/>
    <x:tableColumn id="15" name="Ratecard Hourly (IDR/hr)"/>
    <x:tableColumn id="16" name="Ratecard Daily (IDR/day)"/>
    <x:tableColumn id="17" name="Ratecard Monthly (IDR/mo)"/>
    <x:tableColumn id="18" name="Notes"/>
  </x:tableColumns>
  <x:tableStyleInfo name="TableStyleMedium9" showRowStripes="1"/>
</x:table>
</file>

<file path=xl/tables/table2.xml><?xml version="1.0" encoding="utf-8"?>
<x:table xmlns:x="http://schemas.openxmlformats.org/spreadsheetml/2006/main" id="2" name="RoleCatalog2" displayName="RoleCatalog2" ref="A1:R14" headerRowCount="1">
  <x:autoFilter ref="A1:R14"/>
  <x:tableColumns count="18">
    <x:tableColumn id="1" name="Department"/>
    <x:tableColumn id="2" name="Role Family"/>
    <x:tableColumn id="3" name="Designation"/>
    <x:tableColumn id="4" name="Level"/>
    <x:tableColumn id="5" name="Job Summary"/>
    <x:tableColumn id="6" name="Key Responsibilities"/>
    <x:tableColumn id="7" name="Core Skills"/>
    <x:tableColumn id="8" name="Typical KPIs"/>
    <x:tableColumn id="9" name="Work Model"/>
    <x:tableColumn id="10" name="Employment Type"/>
    <x:tableColumn id="11" name="Career Band"/>
    <x:tableColumn id="12" name="Salary Mid (IDR/mo)"/>
    <x:tableColumn id="13" name="Salary Low (IDR/mo)"/>
    <x:tableColumn id="14" name="Salary High (IDR/mo)"/>
    <x:tableColumn id="15" name="Ratecard Hourly (IDR/hr)"/>
    <x:tableColumn id="16" name="Ratecard Daily (IDR/day)"/>
    <x:tableColumn id="17" name="Ratecard Monthly (IDR/mo)"/>
    <x:tableColumn id="18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add58d98064e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ba43bef200432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customWidth="1"/>
    <x:col min="2" max="2" width="18" customWidth="1"/>
  </x:cols>
  <x:sheetData>
    <x:row r="1">
      <x:c r="A1" s="1" t="inlineStr">
        <x:is>
          <x:t xml:space="preserve">Parameter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Base_mid_monthly_IDR</x:t>
        </x:is>
      </x:c>
      <x:c r="B2" s="3" t="n">
        <x:v>18000000</x:v>
      </x:c>
    </x:row>
    <x:row r="3">
      <x:c r="A3" s="2" t="inlineStr">
        <x:is>
          <x:t xml:space="preserve">Salary_variance_pct</x:t>
        </x:is>
      </x:c>
      <x:c r="B3" s="4" t="n">
        <x:v>0.2</x:v>
      </x:c>
    </x:row>
    <x:row r="4">
      <x:c r="A4" s="2" t="inlineStr">
        <x:is>
          <x:t xml:space="preserve">Workdays_per_month</x:t>
        </x:is>
      </x:c>
      <x:c r="B4" s="5" t="n">
        <x:v>22</x:v>
      </x:c>
    </x:row>
    <x:row r="5">
      <x:c r="A5" s="2" t="inlineStr">
        <x:is>
          <x:t xml:space="preserve">Hours_per_day</x:t>
        </x:is>
      </x:c>
      <x:c r="B5" s="5" t="n">
        <x:v>8</x:v>
      </x:c>
    </x:row>
    <x:row r="6">
      <x:c r="A6" s="2" t="inlineStr">
        <x:is>
          <x:t xml:space="preserve">Ratecard_markup</x:t>
        </x:is>
      </x:c>
      <x:c r="B6" s="4" t="n">
        <x:v>1.6</x:v>
      </x:c>
    </x:row>
    <x:row r="8">
      <x:c r="A8" s="6" t="inlineStr">
        <x:is>
          <x:t xml:space="preserve">Level multipliers</x:t>
        </x:is>
      </x:c>
    </x:row>
    <x:row r="9">
      <x:c r="A9" s="7" t="inlineStr">
        <x:is>
          <x:t xml:space="preserve">Level</x:t>
        </x:is>
      </x:c>
      <x:c r="B9" s="7" t="inlineStr">
        <x:is>
          <x:t xml:space="preserve">Multiplier</x:t>
        </x:is>
      </x:c>
    </x:row>
    <x:row r="10">
      <x:c r="A10" s="2" t="inlineStr">
        <x:is>
          <x:t xml:space="preserve">C-Level</x:t>
        </x:is>
      </x:c>
      <x:c r="B10" s="8" t="n">
        <x:v>3.3</x:v>
      </x:c>
    </x:row>
    <x:row r="11">
      <x:c r="A11" s="2" t="inlineStr">
        <x:is>
          <x:t xml:space="preserve">Director</x:t>
        </x:is>
      </x:c>
      <x:c r="B11" s="8" t="n">
        <x:v>2.7</x:v>
      </x:c>
    </x:row>
    <x:row r="12">
      <x:c r="A12" s="2" t="inlineStr">
        <x:is>
          <x:t xml:space="preserve">Head</x:t>
        </x:is>
      </x:c>
      <x:c r="B12" s="8" t="n">
        <x:v>2.2</x:v>
      </x:c>
    </x:row>
    <x:row r="13">
      <x:c r="A13" s="2" t="inlineStr">
        <x:is>
          <x:t xml:space="preserve">Intern</x:t>
        </x:is>
      </x:c>
      <x:c r="B13" s="8" t="n">
        <x:v>0.35</x:v>
      </x:c>
    </x:row>
    <x:row r="14">
      <x:c r="A14" s="2" t="inlineStr">
        <x:is>
          <x:t xml:space="preserve">Junior</x:t>
        </x:is>
      </x:c>
      <x:c r="B14" s="8" t="n">
        <x:v>0.7</x:v>
      </x:c>
    </x:row>
    <x:row r="15">
      <x:c r="A15" s="2" t="inlineStr">
        <x:is>
          <x:t xml:space="preserve">Lead</x:t>
        </x:is>
      </x:c>
      <x:c r="B15" s="8" t="n">
        <x:v>1.6</x:v>
      </x:c>
    </x:row>
    <x:row r="16">
      <x:c r="A16" s="2" t="inlineStr">
        <x:is>
          <x:t xml:space="preserve">Manager</x:t>
        </x:is>
      </x:c>
      <x:c r="B16" s="8" t="n">
        <x:v>1.8</x:v>
      </x:c>
    </x:row>
    <x:row r="17">
      <x:c r="A17" s="2" t="inlineStr">
        <x:is>
          <x:t xml:space="preserve">Mid</x:t>
        </x:is>
      </x:c>
      <x:c r="B17" s="8" t="n">
        <x:v>1</x:v>
      </x:c>
    </x:row>
    <x:row r="18">
      <x:c r="A18" s="2" t="inlineStr">
        <x:is>
          <x:t xml:space="preserve">Senior</x:t>
        </x:is>
      </x:c>
      <x:c r="B18" s="8" t="n">
        <x:v>1.35</x:v>
      </x:c>
    </x:row>
    <x:row r="20">
      <x:c r="A20" s="6" t="inlineStr">
        <x:is>
          <x:t xml:space="preserve">Role family multipliers</x:t>
        </x:is>
      </x:c>
    </x:row>
    <x:row r="21">
      <x:c r="A21" s="7" t="inlineStr">
        <x:is>
          <x:t xml:space="preserve">Role Family</x:t>
        </x:is>
      </x:c>
      <x:c r="B21" s="7" t="inlineStr">
        <x:is>
          <x:t xml:space="preserve">Multiplier</x:t>
        </x:is>
      </x:c>
    </x:row>
    <x:row r="22">
      <x:c r="A22" s="2" t="inlineStr">
        <x:is>
          <x:t xml:space="preserve">Customer Success</x:t>
        </x:is>
      </x:c>
      <x:c r="B22" s="8" t="n">
        <x:v>1</x:v>
      </x:c>
    </x:row>
    <x:row r="23">
      <x:c r="A23" s="2" t="inlineStr">
        <x:is>
          <x:t xml:space="preserve">Data</x:t>
        </x:is>
      </x:c>
      <x:c r="B23" s="8" t="n">
        <x:v>1.25</x:v>
      </x:c>
    </x:row>
    <x:row r="24">
      <x:c r="A24" s="2" t="inlineStr">
        <x:is>
          <x:t xml:space="preserve">Design</x:t>
        </x:is>
      </x:c>
      <x:c r="B24" s="8" t="n">
        <x:v>1.1</x:v>
      </x:c>
    </x:row>
    <x:row r="25">
      <x:c r="A25" s="2" t="inlineStr">
        <x:is>
          <x:t xml:space="preserve">DevOps/SRE</x:t>
        </x:is>
      </x:c>
      <x:c r="B25" s="8" t="n">
        <x:v>1.35</x:v>
      </x:c>
    </x:row>
    <x:row r="26">
      <x:c r="A26" s="2" t="inlineStr">
        <x:is>
          <x:t xml:space="preserve">Engineering</x:t>
        </x:is>
      </x:c>
      <x:c r="B26" s="8" t="n">
        <x:v>1.3</x:v>
      </x:c>
    </x:row>
    <x:row r="27">
      <x:c r="A27" s="2" t="inlineStr">
        <x:is>
          <x:t xml:space="preserve">Executive</x:t>
        </x:is>
      </x:c>
      <x:c r="B27" s="8" t="n">
        <x:v>2.5</x:v>
      </x:c>
    </x:row>
    <x:row r="28">
      <x:c r="A28" s="2" t="inlineStr">
        <x:is>
          <x:t xml:space="preserve">Finance</x:t>
        </x:is>
      </x:c>
      <x:c r="B28" s="8" t="n">
        <x:v>1</x:v>
      </x:c>
    </x:row>
    <x:row r="29">
      <x:c r="A29" s="2" t="inlineStr">
        <x:is>
          <x:t xml:space="preserve">HR/People</x:t>
        </x:is>
      </x:c>
      <x:c r="B29" s="8" t="n">
        <x:v>0.95</x:v>
      </x:c>
    </x:row>
    <x:row r="30">
      <x:c r="A30" s="2" t="inlineStr">
        <x:is>
          <x:t xml:space="preserve">IT</x:t>
        </x:is>
      </x:c>
      <x:c r="B30" s="8" t="n">
        <x:v>0.95</x:v>
      </x:c>
    </x:row>
    <x:row r="31">
      <x:c r="A31" s="2" t="inlineStr">
        <x:is>
          <x:t xml:space="preserve">Legal/Compliance</x:t>
        </x:is>
      </x:c>
      <x:c r="B31" s="8" t="n">
        <x:v>1.15</x:v>
      </x:c>
    </x:row>
    <x:row r="32">
      <x:c r="A32" s="2" t="inlineStr">
        <x:is>
          <x:t xml:space="preserve">Marketing</x:t>
        </x:is>
      </x:c>
      <x:c r="B32" s="8" t="n">
        <x:v>1</x:v>
      </x:c>
    </x:row>
    <x:row r="33">
      <x:c r="A33" s="2" t="inlineStr">
        <x:is>
          <x:t xml:space="preserve">Operations</x:t>
        </x:is>
      </x:c>
      <x:c r="B33" s="8" t="n">
        <x:v>1</x:v>
      </x:c>
    </x:row>
    <x:row r="34">
      <x:c r="A34" s="2" t="inlineStr">
        <x:is>
          <x:t xml:space="preserve">Partnerships</x:t>
        </x:is>
      </x:c>
      <x:c r="B34" s="8" t="n">
        <x:v>1.05</x:v>
      </x:c>
    </x:row>
    <x:row r="35">
      <x:c r="A35" s="2" t="inlineStr">
        <x:is>
          <x:t xml:space="preserve">Product</x:t>
        </x:is>
      </x:c>
      <x:c r="B35" s="8" t="n">
        <x:v>1.2</x:v>
      </x:c>
    </x:row>
    <x:row r="36">
      <x:c r="A36" s="2" t="inlineStr">
        <x:is>
          <x:t xml:space="preserve">QA</x:t>
        </x:is>
      </x:c>
      <x:c r="B36" s="8" t="n">
        <x:v>1</x:v>
      </x:c>
    </x:row>
    <x:row r="37">
      <x:c r="A37" s="2" t="inlineStr">
        <x:is>
          <x:t xml:space="preserve">Sales</x:t>
        </x:is>
      </x:c>
      <x:c r="B37" s="8" t="n">
        <x:v>1.1</x:v>
      </x:c>
    </x:row>
    <x:row r="38">
      <x:c r="A38" s="2" t="inlineStr">
        <x:is>
          <x:t xml:space="preserve">Security</x:t>
        </x:is>
      </x:c>
      <x:c r="B38" s="8" t="n">
        <x:v>1.4</x:v>
      </x:c>
    </x:row>
    <x:row r="39">
      <x:c r="A39" s="2" t="inlineStr">
        <x:is>
          <x:t xml:space="preserve">Support</x:t>
        </x:is>
      </x:c>
      <x:c r="B39" s="8" t="n">
        <x:v>0.9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32" customWidth="1"/>
    <x:col min="4" max="4" width="10" customWidth="1"/>
    <x:col min="5" max="5" width="38" customWidth="1"/>
    <x:col min="6" max="6" width="45" customWidth="1"/>
    <x:col min="7" max="7" width="30" customWidth="1"/>
    <x:col min="8" max="8" width="28" customWidth="1"/>
    <x:col min="9" max="9" width="12" customWidth="1"/>
    <x:col min="10" max="10" width="14" customWidth="1"/>
    <x:col min="11" max="11" width="12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20" customWidth="1"/>
    <x:col min="18" max="18" width="20" customWidth="1"/>
  </x:cols>
  <x:sheetData>
    <x:row r="1" ht="28" customHeight="1">
      <x:c r="A1" s="9" t="inlineStr">
        <x:is>
          <x:t xml:space="preserve">Department</x:t>
        </x:is>
      </x:c>
      <x:c r="B1" s="9" t="inlineStr">
        <x:is>
          <x:t xml:space="preserve">Role Family</x:t>
        </x:is>
      </x:c>
      <x:c r="C1" s="9" t="inlineStr">
        <x:is>
          <x:t xml:space="preserve">Designation</x:t>
        </x:is>
      </x:c>
      <x:c r="D1" s="9" t="inlineStr">
        <x:is>
          <x:t xml:space="preserve">Level</x:t>
        </x:is>
      </x:c>
      <x:c r="E1" s="9" t="inlineStr">
        <x:is>
          <x:t xml:space="preserve">Job Summary</x:t>
        </x:is>
      </x:c>
      <x:c r="F1" s="9" t="inlineStr">
        <x:is>
          <x:t xml:space="preserve">Key Responsibilities</x:t>
        </x:is>
      </x:c>
      <x:c r="G1" s="9" t="inlineStr">
        <x:is>
          <x:t xml:space="preserve">Core Skills</x:t>
        </x:is>
      </x:c>
      <x:c r="H1" s="9" t="inlineStr">
        <x:is>
          <x:t xml:space="preserve">Typical KPIs</x:t>
        </x:is>
      </x:c>
      <x:c r="I1" s="9" t="inlineStr">
        <x:is>
          <x:t xml:space="preserve">Work Model</x:t>
        </x:is>
      </x:c>
      <x:c r="J1" s="9" t="inlineStr">
        <x:is>
          <x:t xml:space="preserve">Employment Type</x:t>
        </x:is>
      </x:c>
      <x:c r="K1" s="9" t="inlineStr">
        <x:is>
          <x:t xml:space="preserve">Career Band</x:t>
        </x:is>
      </x:c>
      <x:c r="L1" s="9" t="inlineStr">
        <x:is>
          <x:t xml:space="preserve">Salary Mid (IDR/mo)</x:t>
        </x:is>
      </x:c>
      <x:c r="M1" s="9" t="inlineStr">
        <x:is>
          <x:t xml:space="preserve">Salary Low (IDR/mo)</x:t>
        </x:is>
      </x:c>
      <x:c r="N1" s="9" t="inlineStr">
        <x:is>
          <x:t xml:space="preserve">Salary High (IDR/mo)</x:t>
        </x:is>
      </x:c>
      <x:c r="O1" s="9" t="inlineStr">
        <x:is>
          <x:t xml:space="preserve">Ratecard Hourly (IDR/hr)</x:t>
        </x:is>
      </x:c>
      <x:c r="P1" s="9" t="inlineStr">
        <x:is>
          <x:t xml:space="preserve">Ratecard Daily (IDR/day)</x:t>
        </x:is>
      </x:c>
      <x:c r="Q1" s="9" t="inlineStr">
        <x:is>
          <x:t xml:space="preserve">Ratecard Monthly (IDR/mo)</x:t>
        </x:is>
      </x:c>
      <x:c r="R1" s="9" t="inlineStr">
        <x:is>
          <x:t xml:space="preserve">Notes</x:t>
        </x:is>
      </x:c>
    </x:row>
    <x:row r="2" ht="72" customHeight="1">
      <x:c r="A2" s="10" t="inlineStr">
        <x:is>
          <x:t xml:space="preserve">Leadership</x:t>
        </x:is>
      </x:c>
      <x:c r="B2" s="10" t="inlineStr">
        <x:is>
          <x:t xml:space="preserve">Executive</x:t>
        </x:is>
      </x:c>
      <x:c r="C2" s="10" t="inlineStr">
        <x:is>
          <x:t xml:space="preserve">Chief Executive Officer (CEO)</x:t>
        </x:is>
      </x:c>
      <x:c r="D2" s="10" t="inlineStr">
        <x:is>
          <x:t xml:space="preserve">C-Level</x:t>
        </x:is>
      </x:c>
      <x:c r="E2" s="10" t="inlineStr">
        <x:is>
          <x:t xml:space="preserve">Memimpin strategi perusahaan, pertumbuhan, budaya, dan akuntabilitas P&amp;L.</x:t>
        </x:is>
      </x:c>
      <x:c r="F2" s="10" t="inlineStr">
        <x:is>
          <x:t xml:space="preserve">Menetapkan visi &amp; OKR; mengelola eksekusi lintas fungsi; hubungan investor/board; keputusan hiring strategis.</x:t>
        </x:is>
      </x:c>
      <x:c r="G2" s="10" t="inlineStr">
        <x:is>
          <x:t xml:space="preserve">Strategic leadership, P&amp;L, fundraising, stakeholder mgmt, communication.</x:t>
        </x:is>
      </x:c>
      <x:c r="H2" s="10" t="inlineStr">
        <x:is>
          <x:t xml:space="preserve">Revenue growth, margin, runway, OKR achievement, NPS/eNPS.</x:t>
        </x:is>
      </x:c>
      <x:c r="I2" s="10" t="inlineStr">
        <x:is>
          <x:t xml:space="preserve">Hybrid</x:t>
        </x:is>
      </x:c>
      <x:c r="J2" s="10" t="inlineStr">
        <x:is>
          <x:t xml:space="preserve">Employee</x:t>
        </x:is>
      </x:c>
      <x:c r="K2" s="10" t="inlineStr">
        <x:is>
          <x:t xml:space="preserve"/>
        </x:is>
      </x:c>
      <x:c r="L2" s="11">
        <x:f>Assumptions!$B$2*VLOOKUP(D2,Assumptions!$A$10:$B$18,2,FALSE)*VLOOKUP(B2,Assumptions!$A$22:$B$39,2,FALSE)</x:f>
        <x:v>148500000</x:v>
      </x:c>
      <x:c r="M2" s="11">
        <x:f>L2*(1-Assumptions!$B$3/2)</x:f>
        <x:v>133650000</x:v>
      </x:c>
      <x:c r="N2" s="11">
        <x:f>L2*(1+Assumptions!$B$3/2)</x:f>
        <x:v>163350000</x:v>
      </x:c>
      <x:c r="O2" s="11">
        <x:f>(L2/Assumptions!$B$4/Assumptions!$B$5)*Assumptions!$B$6</x:f>
        <x:v>1350000</x:v>
      </x:c>
      <x:c r="P2" s="11">
        <x:f>(L2/Assumptions!$B$4)*Assumptions!$B$6</x:f>
        <x:v>10800000</x:v>
      </x:c>
      <x:c r="Q2" s="11">
        <x:f>L2*Assumptions!$B$6</x:f>
        <x:v>237600000</x:v>
      </x:c>
      <x:c r="R2" s="10" t="inlineStr">
        <x:is>
          <x:t xml:space="preserve"/>
        </x:is>
      </x:c>
    </x:row>
    <x:row r="3" ht="72" customHeight="1">
      <x:c r="A3" s="10" t="inlineStr">
        <x:is>
          <x:t xml:space="preserve">Leadership</x:t>
        </x:is>
      </x:c>
      <x:c r="B3" s="10" t="inlineStr">
        <x:is>
          <x:t xml:space="preserve">Executive</x:t>
        </x:is>
      </x:c>
      <x:c r="C3" s="10" t="inlineStr">
        <x:is>
          <x:t xml:space="preserve">Chief Technology Officer (CTO)</x:t>
        </x:is>
      </x:c>
      <x:c r="D3" s="10" t="inlineStr">
        <x:is>
          <x:t xml:space="preserve">C-Level</x:t>
        </x:is>
      </x:c>
      <x:c r="E3" s="10" t="inlineStr">
        <x:is>
          <x:t xml:space="preserve">Menentukan arah teknologi, arsitektur, kualitas engineering, dan keamanan sistem.</x:t>
        </x:is>
      </x:c>
      <x:c r="F3" s="10" t="inlineStr">
        <x:is>
          <x:t xml:space="preserve">Roadmap arsitektur; standar engineering; pengelolaan tim eng; risk &amp; security oversight.</x:t>
        </x:is>
      </x:c>
      <x:c r="G3" s="10" t="inlineStr">
        <x:is>
          <x:t xml:space="preserve">System design, people leadership, cloud, security mindset, delivery management.</x:t>
        </x:is>
      </x:c>
      <x:c r="H3" s="10" t="inlineStr">
        <x:is>
          <x:t xml:space="preserve">Uptime/SLA, delivery predictability, cost efficiency, security posture.</x:t>
        </x:is>
      </x:c>
      <x:c r="I3" s="10" t="inlineStr">
        <x:is>
          <x:t xml:space="preserve">Hybrid</x:t>
        </x:is>
      </x:c>
      <x:c r="J3" s="10" t="inlineStr">
        <x:is>
          <x:t xml:space="preserve">Employee</x:t>
        </x:is>
      </x:c>
      <x:c r="K3" s="10" t="inlineStr">
        <x:is>
          <x:t xml:space="preserve"/>
        </x:is>
      </x:c>
      <x:c r="L3" s="11">
        <x:f>Assumptions!$B$2*VLOOKUP(D3,Assumptions!$A$10:$B$18,2,FALSE)*VLOOKUP(B3,Assumptions!$A$22:$B$39,2,FALSE)</x:f>
        <x:v>148500000</x:v>
      </x:c>
      <x:c r="M3" s="11">
        <x:f>L3*(1-Assumptions!$B$3/2)</x:f>
        <x:v>133650000</x:v>
      </x:c>
      <x:c r="N3" s="11">
        <x:f>L3*(1+Assumptions!$B$3/2)</x:f>
        <x:v>163350000</x:v>
      </x:c>
      <x:c r="O3" s="11">
        <x:f>(L3/Assumptions!$B$4/Assumptions!$B$5)*Assumptions!$B$6</x:f>
        <x:v>1350000</x:v>
      </x:c>
      <x:c r="P3" s="11">
        <x:f>(L3/Assumptions!$B$4)*Assumptions!$B$6</x:f>
        <x:v>10800000</x:v>
      </x:c>
      <x:c r="Q3" s="11">
        <x:f>L3*Assumptions!$B$6</x:f>
        <x:v>237600000</x:v>
      </x:c>
      <x:c r="R3" s="10" t="inlineStr">
        <x:is>
          <x:t xml:space="preserve"/>
        </x:is>
      </x:c>
    </x:row>
    <x:row r="4" ht="72" customHeight="1">
      <x:c r="A4" s="10" t="inlineStr">
        <x:is>
          <x:t xml:space="preserve">Leadership</x:t>
        </x:is>
      </x:c>
      <x:c r="B4" s="10" t="inlineStr">
        <x:is>
          <x:t xml:space="preserve">Executive</x:t>
        </x:is>
      </x:c>
      <x:c r="C4" s="10" t="inlineStr">
        <x:is>
          <x:t xml:space="preserve">Chief Product Officer (CPO)</x:t>
        </x:is>
      </x:c>
      <x:c r="D4" s="10" t="inlineStr">
        <x:is>
          <x:t xml:space="preserve">C-Level</x:t>
        </x:is>
      </x:c>
      <x:c r="E4" s="10" t="inlineStr">
        <x:is>
          <x:t xml:space="preserve">Memimpin strategi produk, discovery, prioritas roadmap, dan outcome pelanggan.</x:t>
        </x:is>
      </x:c>
      <x:c r="F4" s="10" t="inlineStr">
        <x:is>
          <x:t xml:space="preserve">Define product strategy; manage PM org; align GTM; portfolio decisions.</x:t>
        </x:is>
      </x:c>
      <x:c r="G4" s="10" t="inlineStr">
        <x:is>
          <x:t xml:space="preserve">Product strategy, analytics, customer discovery, leadership, storytelling.</x:t>
        </x:is>
      </x:c>
      <x:c r="H4" s="10" t="inlineStr">
        <x:is>
          <x:t xml:space="preserve">Adoption, retention, revenue impact, roadmap outcomes.</x:t>
        </x:is>
      </x:c>
      <x:c r="I4" s="10" t="inlineStr">
        <x:is>
          <x:t xml:space="preserve">Hybrid</x:t>
        </x:is>
      </x:c>
      <x:c r="J4" s="10" t="inlineStr">
        <x:is>
          <x:t xml:space="preserve">Employee</x:t>
        </x:is>
      </x:c>
      <x:c r="K4" s="10" t="inlineStr">
        <x:is>
          <x:t xml:space="preserve"/>
        </x:is>
      </x:c>
      <x:c r="L4" s="11">
        <x:f>Assumptions!$B$2*VLOOKUP(D4,Assumptions!$A$10:$B$18,2,FALSE)*VLOOKUP(B4,Assumptions!$A$22:$B$39,2,FALSE)</x:f>
        <x:v>148500000</x:v>
      </x:c>
      <x:c r="M4" s="11">
        <x:f>L4*(1-Assumptions!$B$3/2)</x:f>
        <x:v>133650000</x:v>
      </x:c>
      <x:c r="N4" s="11">
        <x:f>L4*(1+Assumptions!$B$3/2)</x:f>
        <x:v>163350000</x:v>
      </x:c>
      <x:c r="O4" s="11">
        <x:f>(L4/Assumptions!$B$4/Assumptions!$B$5)*Assumptions!$B$6</x:f>
        <x:v>1350000</x:v>
      </x:c>
      <x:c r="P4" s="11">
        <x:f>(L4/Assumptions!$B$4)*Assumptions!$B$6</x:f>
        <x:v>10800000</x:v>
      </x:c>
      <x:c r="Q4" s="11">
        <x:f>L4*Assumptions!$B$6</x:f>
        <x:v>237600000</x:v>
      </x:c>
      <x:c r="R4" s="10" t="inlineStr">
        <x:is>
          <x:t xml:space="preserve"/>
        </x:is>
      </x:c>
    </x:row>
    <x:row r="5" ht="72" customHeight="1">
      <x:c r="A5" s="10" t="inlineStr">
        <x:is>
          <x:t xml:space="preserve">Leadership</x:t>
        </x:is>
      </x:c>
      <x:c r="B5" s="10" t="inlineStr">
        <x:is>
          <x:t xml:space="preserve">Executive</x:t>
        </x:is>
      </x:c>
      <x:c r="C5" s="10" t="inlineStr">
        <x:is>
          <x:t xml:space="preserve">Chief Operating Officer (COO)</x:t>
        </x:is>
      </x:c>
      <x:c r="D5" s="10" t="inlineStr">
        <x:is>
          <x:t xml:space="preserve">C-Level</x:t>
        </x:is>
      </x:c>
      <x:c r="E5" s="10" t="inlineStr">
        <x:is>
          <x:t xml:space="preserve">Mengoptimalkan operasi bisnis end-to-end agar eksekusi scalable dan efisien.</x:t>
        </x:is>
      </x:c>
      <x:c r="F5" s="10" t="inlineStr">
        <x:is>
          <x:t xml:space="preserve">Operational cadence; process design; cross-functional execution; vendor &amp; risk.</x:t>
        </x:is>
      </x:c>
      <x:c r="G5" s="10" t="inlineStr">
        <x:is>
          <x:t xml:space="preserve">Ops excellence, finance basics, project/program mgmt, negotiation.</x:t>
        </x:is>
      </x:c>
      <x:c r="H5" s="10" t="inlineStr">
        <x:is>
          <x:t xml:space="preserve">Cycle time, unit economics, compliance, efficiency gains.</x:t>
        </x:is>
      </x:c>
      <x:c r="I5" s="10" t="inlineStr">
        <x:is>
          <x:t xml:space="preserve">Hybrid</x:t>
        </x:is>
      </x:c>
      <x:c r="J5" s="10" t="inlineStr">
        <x:is>
          <x:t xml:space="preserve">Employee</x:t>
        </x:is>
      </x:c>
      <x:c r="K5" s="10" t="inlineStr">
        <x:is>
          <x:t xml:space="preserve"/>
        </x:is>
      </x:c>
      <x:c r="L5" s="11">
        <x:f>Assumptions!$B$2*VLOOKUP(D5,Assumptions!$A$10:$B$18,2,FALSE)*VLOOKUP(B5,Assumptions!$A$22:$B$39,2,FALSE)</x:f>
        <x:v>148500000</x:v>
      </x:c>
      <x:c r="M5" s="11">
        <x:f>L5*(1-Assumptions!$B$3/2)</x:f>
        <x:v>133650000</x:v>
      </x:c>
      <x:c r="N5" s="11">
        <x:f>L5*(1+Assumptions!$B$3/2)</x:f>
        <x:v>163350000</x:v>
      </x:c>
      <x:c r="O5" s="11">
        <x:f>(L5/Assumptions!$B$4/Assumptions!$B$5)*Assumptions!$B$6</x:f>
        <x:v>1350000</x:v>
      </x:c>
      <x:c r="P5" s="11">
        <x:f>(L5/Assumptions!$B$4)*Assumptions!$B$6</x:f>
        <x:v>10800000</x:v>
      </x:c>
      <x:c r="Q5" s="11">
        <x:f>L5*Assumptions!$B$6</x:f>
        <x:v>237600000</x:v>
      </x:c>
      <x:c r="R5" s="10" t="inlineStr">
        <x:is>
          <x:t xml:space="preserve"/>
        </x:is>
      </x:c>
    </x:row>
    <x:row r="6" ht="72" customHeight="1">
      <x:c r="A6" s="10" t="inlineStr">
        <x:is>
          <x:t xml:space="preserve">Leadership</x:t>
        </x:is>
      </x:c>
      <x:c r="B6" s="10" t="inlineStr">
        <x:is>
          <x:t xml:space="preserve">Executive</x:t>
        </x:is>
      </x:c>
      <x:c r="C6" s="10" t="inlineStr">
        <x:is>
          <x:t xml:space="preserve">Chief Financial Officer (CFO)</x:t>
        </x:is>
      </x:c>
      <x:c r="D6" s="10" t="inlineStr">
        <x:is>
          <x:t xml:space="preserve">C-Level</x:t>
        </x:is>
      </x:c>
      <x:c r="E6" s="10" t="inlineStr">
        <x:is>
          <x:t xml:space="preserve">Mengelola strategi keuangan, kontrol, pelaporan, dan perencanaan modal.</x:t>
        </x:is>
      </x:c>
      <x:c r="F6" s="10" t="inlineStr">
        <x:is>
          <x:t xml:space="preserve">Budgeting &amp; FP&amp;A; cashflow; audit; investor reporting; pricing support.</x:t>
        </x:is>
      </x:c>
      <x:c r="G6" s="10" t="inlineStr">
        <x:is>
          <x:t xml:space="preserve">Accounting, FP&amp;A, risk, fundraising support, governance.</x:t>
        </x:is>
      </x:c>
      <x:c r="H6" s="10" t="inlineStr">
        <x:is>
          <x:t xml:space="preserve">Cash runway, forecast accuracy, audit findings, margin.</x:t>
        </x:is>
      </x:c>
      <x:c r="I6" s="10" t="inlineStr">
        <x:is>
          <x:t xml:space="preserve">Hybrid</x:t>
        </x:is>
      </x:c>
      <x:c r="J6" s="10" t="inlineStr">
        <x:is>
          <x:t xml:space="preserve">Employee</x:t>
        </x:is>
      </x:c>
      <x:c r="K6" s="10" t="inlineStr">
        <x:is>
          <x:t xml:space="preserve"/>
        </x:is>
      </x:c>
      <x:c r="L6" s="11">
        <x:f>Assumptions!$B$2*VLOOKUP(D6,Assumptions!$A$10:$B$18,2,FALSE)*VLOOKUP(B6,Assumptions!$A$22:$B$39,2,FALSE)</x:f>
        <x:v>148500000</x:v>
      </x:c>
      <x:c r="M6" s="11">
        <x:f>L6*(1-Assumptions!$B$3/2)</x:f>
        <x:v>133650000</x:v>
      </x:c>
      <x:c r="N6" s="11">
        <x:f>L6*(1+Assumptions!$B$3/2)</x:f>
        <x:v>163350000</x:v>
      </x:c>
      <x:c r="O6" s="11">
        <x:f>(L6/Assumptions!$B$4/Assumptions!$B$5)*Assumptions!$B$6</x:f>
        <x:v>1350000</x:v>
      </x:c>
      <x:c r="P6" s="11">
        <x:f>(L6/Assumptions!$B$4)*Assumptions!$B$6</x:f>
        <x:v>10800000</x:v>
      </x:c>
      <x:c r="Q6" s="11">
        <x:f>L6*Assumptions!$B$6</x:f>
        <x:v>237600000</x:v>
      </x:c>
      <x:c r="R6" s="10" t="inlineStr">
        <x:is>
          <x:t xml:space="preserve"/>
        </x:is>
      </x:c>
    </x:row>
    <x:row r="7" ht="72" customHeight="1">
      <x:c r="A7" s="10" t="inlineStr">
        <x:is>
          <x:t xml:space="preserve">Product</x:t>
        </x:is>
      </x:c>
      <x:c r="B7" s="10" t="inlineStr">
        <x:is>
          <x:t xml:space="preserve">Product</x:t>
        </x:is>
      </x:c>
      <x:c r="C7" s="10" t="inlineStr">
        <x:is>
          <x:t xml:space="preserve">Product Manager</x:t>
        </x:is>
      </x:c>
      <x:c r="D7" s="10" t="inlineStr">
        <x:is>
          <x:t xml:space="preserve">Mid</x:t>
        </x:is>
      </x:c>
      <x:c r="E7" s="10" t="inlineStr">
        <x:is>
          <x:t xml:space="preserve">Mengelola roadmap produk dari discovery hingga delivery untuk mencapai outcome bisnis.</x:t>
        </x:is>
      </x:c>
      <x:c r="F7" s="10" t="inlineStr">
        <x:is>
          <x:t xml:space="preserve">Riset pengguna; definisi PRD; prioritisasi backlog; koordinasi eng/design; eksperimen &amp; iterasi.</x:t>
        </x:is>
      </x:c>
      <x:c r="G7" s="10" t="inlineStr">
        <x:is>
          <x:t xml:space="preserve">User research, product analytics, prioritization, communication.</x:t>
        </x:is>
      </x:c>
      <x:c r="H7" s="10" t="inlineStr">
        <x:is>
          <x:t xml:space="preserve">Activation, retention, feature adoption, time-to-market.</x:t>
        </x:is>
      </x:c>
      <x:c r="I7" s="10" t="inlineStr">
        <x:is>
          <x:t xml:space="preserve">Hybrid</x:t>
        </x:is>
      </x:c>
      <x:c r="J7" s="10" t="inlineStr">
        <x:is>
          <x:t xml:space="preserve">Employee</x:t>
        </x:is>
      </x:c>
      <x:c r="K7" s="10" t="inlineStr">
        <x:is>
          <x:t xml:space="preserve"/>
        </x:is>
      </x:c>
      <x:c r="L7" s="11">
        <x:f>Assumptions!$B$2*VLOOKUP(D7,Assumptions!$A$10:$B$18,2,FALSE)*VLOOKUP(B7,Assumptions!$A$22:$B$39,2,FALSE)</x:f>
        <x:v>21600000</x:v>
      </x:c>
      <x:c r="M7" s="11">
        <x:f>L7*(1-Assumptions!$B$3/2)</x:f>
        <x:v>19440000</x:v>
      </x:c>
      <x:c r="N7" s="11">
        <x:f>L7*(1+Assumptions!$B$3/2)</x:f>
        <x:v>23760000.000000004</x:v>
      </x:c>
      <x:c r="O7" s="11">
        <x:f>(L7/Assumptions!$B$4/Assumptions!$B$5)*Assumptions!$B$6</x:f>
        <x:v>196363.63636363635</x:v>
      </x:c>
      <x:c r="P7" s="11">
        <x:f>(L7/Assumptions!$B$4)*Assumptions!$B$6</x:f>
        <x:v>1570909.0909090908</x:v>
      </x:c>
      <x:c r="Q7" s="11">
        <x:f>L7*Assumptions!$B$6</x:f>
        <x:v>34560000</x:v>
      </x:c>
      <x:c r="R7" s="10" t="inlineStr">
        <x:is>
          <x:t xml:space="preserve"/>
        </x:is>
      </x:c>
    </x:row>
    <x:row r="8" ht="72" customHeight="1">
      <x:c r="A8" s="10" t="inlineStr">
        <x:is>
          <x:t xml:space="preserve">Product</x:t>
        </x:is>
      </x:c>
      <x:c r="B8" s="10" t="inlineStr">
        <x:is>
          <x:t xml:space="preserve">Product</x:t>
        </x:is>
      </x:c>
      <x:c r="C8" s="10" t="inlineStr">
        <x:is>
          <x:t xml:space="preserve">Senior Product Manager</x:t>
        </x:is>
      </x:c>
      <x:c r="D8" s="10" t="inlineStr">
        <x:is>
          <x:t xml:space="preserve">Senior</x:t>
        </x:is>
      </x:c>
      <x:c r="E8" s="10" t="inlineStr">
        <x:is>
          <x:t xml:space="preserve">Memimpin area produk strategis, memastikan impact dan alignment lintas tim.</x:t>
        </x:is>
      </x:c>
      <x:c r="F8" s="10" t="inlineStr">
        <x:is>
          <x:t xml:space="preserve">Problem framing; mentoring PM; stakeholder alignment; go-to-market readiness.</x:t>
        </x:is>
      </x:c>
      <x:c r="G8" s="10" t="inlineStr">
        <x:is>
          <x:t xml:space="preserve">Strategy, analytics, leadership, cross-functional influence.</x:t>
        </x:is>
      </x:c>
      <x:c r="H8" s="10" t="inlineStr">
        <x:is>
          <x:t xml:space="preserve">North star metric, revenue/retention impact, delivery predictability.</x:t>
        </x:is>
      </x:c>
      <x:c r="I8" s="10" t="inlineStr">
        <x:is>
          <x:t xml:space="preserve">Hybrid</x:t>
        </x:is>
      </x:c>
      <x:c r="J8" s="10" t="inlineStr">
        <x:is>
          <x:t xml:space="preserve">Employee</x:t>
        </x:is>
      </x:c>
      <x:c r="K8" s="10" t="inlineStr">
        <x:is>
          <x:t xml:space="preserve"/>
        </x:is>
      </x:c>
      <x:c r="L8" s="11">
        <x:f>Assumptions!$B$2*VLOOKUP(D8,Assumptions!$A$10:$B$18,2,FALSE)*VLOOKUP(B8,Assumptions!$A$22:$B$39,2,FALSE)</x:f>
        <x:v>29160000</x:v>
      </x:c>
      <x:c r="M8" s="11">
        <x:f>L8*(1-Assumptions!$B$3/2)</x:f>
        <x:v>26244000</x:v>
      </x:c>
      <x:c r="N8" s="11">
        <x:f>L8*(1+Assumptions!$B$3/2)</x:f>
        <x:v>32076000.000000004</x:v>
      </x:c>
      <x:c r="O8" s="11">
        <x:f>(L8/Assumptions!$B$4/Assumptions!$B$5)*Assumptions!$B$6</x:f>
        <x:v>265090.9090909091</x:v>
      </x:c>
      <x:c r="P8" s="11">
        <x:f>(L8/Assumptions!$B$4)*Assumptions!$B$6</x:f>
        <x:v>2120727.272727273</x:v>
      </x:c>
      <x:c r="Q8" s="11">
        <x:f>L8*Assumptions!$B$6</x:f>
        <x:v>46656000</x:v>
      </x:c>
      <x:c r="R8" s="10" t="inlineStr">
        <x:is>
          <x:t xml:space="preserve"/>
        </x:is>
      </x:c>
    </x:row>
    <x:row r="9" ht="72" customHeight="1">
      <x:c r="A9" s="10" t="inlineStr">
        <x:is>
          <x:t xml:space="preserve">Product</x:t>
        </x:is>
      </x:c>
      <x:c r="B9" s="10" t="inlineStr">
        <x:is>
          <x:t xml:space="preserve">Product</x:t>
        </x:is>
      </x:c>
      <x:c r="C9" s="10" t="inlineStr">
        <x:is>
          <x:t xml:space="preserve">Technical Product Manager</x:t>
        </x:is>
      </x:c>
      <x:c r="D9" s="10" t="inlineStr">
        <x:is>
          <x:t xml:space="preserve">Senior</x:t>
        </x:is>
      </x:c>
      <x:c r="E9" s="10" t="inlineStr">
        <x:is>
          <x:t xml:space="preserve">Menjembatani kebutuhan bisnis dengan solusi teknis, fokus pada platform/API.</x:t>
        </x:is>
      </x:c>
      <x:c r="F9" s="10" t="inlineStr">
        <x:is>
          <x:t xml:space="preserve">Define platform requirements; partner dengan architect; manage API lifecycle; docs &amp; adoption.</x:t>
        </x:is>
      </x:c>
      <x:c r="G9" s="10" t="inlineStr">
        <x:is>
          <x:t xml:space="preserve">Technical depth, APIs, system thinking, stakeholder mgmt.</x:t>
        </x:is>
      </x:c>
      <x:c r="H9" s="10" t="inlineStr">
        <x:is>
          <x:t xml:space="preserve">Platform adoption, API reliability, developer satisfaction.</x:t>
        </x:is>
      </x:c>
      <x:c r="I9" s="10" t="inlineStr">
        <x:is>
          <x:t xml:space="preserve">Hybrid</x:t>
        </x:is>
      </x:c>
      <x:c r="J9" s="10" t="inlineStr">
        <x:is>
          <x:t xml:space="preserve">Employee</x:t>
        </x:is>
      </x:c>
      <x:c r="K9" s="10" t="inlineStr">
        <x:is>
          <x:t xml:space="preserve"/>
        </x:is>
      </x:c>
      <x:c r="L9" s="11">
        <x:f>Assumptions!$B$2*VLOOKUP(D9,Assumptions!$A$10:$B$18,2,FALSE)*VLOOKUP(B9,Assumptions!$A$22:$B$39,2,FALSE)</x:f>
        <x:v>29160000</x:v>
      </x:c>
      <x:c r="M9" s="11">
        <x:f>L9*(1-Assumptions!$B$3/2)</x:f>
        <x:v>26244000</x:v>
      </x:c>
      <x:c r="N9" s="11">
        <x:f>L9*(1+Assumptions!$B$3/2)</x:f>
        <x:v>32076000.000000004</x:v>
      </x:c>
      <x:c r="O9" s="11">
        <x:f>(L9/Assumptions!$B$4/Assumptions!$B$5)*Assumptions!$B$6</x:f>
        <x:v>265090.9090909091</x:v>
      </x:c>
      <x:c r="P9" s="11">
        <x:f>(L9/Assumptions!$B$4)*Assumptions!$B$6</x:f>
        <x:v>2120727.272727273</x:v>
      </x:c>
      <x:c r="Q9" s="11">
        <x:f>L9*Assumptions!$B$6</x:f>
        <x:v>46656000</x:v>
      </x:c>
      <x:c r="R9" s="10" t="inlineStr">
        <x:is>
          <x:t xml:space="preserve"/>
        </x:is>
      </x:c>
    </x:row>
    <x:row r="10" ht="72" customHeight="1">
      <x:c r="A10" s="10" t="inlineStr">
        <x:is>
          <x:t xml:space="preserve">Product</x:t>
        </x:is>
      </x:c>
      <x:c r="B10" s="10" t="inlineStr">
        <x:is>
          <x:t xml:space="preserve">Product</x:t>
        </x:is>
      </x:c>
      <x:c r="C10" s="10" t="inlineStr">
        <x:is>
          <x:t xml:space="preserve">Product Analyst</x:t>
        </x:is>
      </x:c>
      <x:c r="D10" s="10" t="inlineStr">
        <x:is>
          <x:t xml:space="preserve">Mid</x:t>
        </x:is>
      </x:c>
      <x:c r="E10" s="10" t="inlineStr">
        <x:is>
          <x:t xml:space="preserve">Menyediakan insight berbasis data untuk keputusan produk dan eksperimen.</x:t>
        </x:is>
      </x:c>
      <x:c r="F10" s="10" t="inlineStr">
        <x:is>
          <x:t xml:space="preserve">Dashboarding; cohort analysis; experiment design; metric governance.</x:t>
        </x:is>
      </x:c>
      <x:c r="G10" s="10" t="inlineStr">
        <x:is>
          <x:t xml:space="preserve">SQL, BI tools, experimentation, statistics basics.</x:t>
        </x:is>
      </x:c>
      <x:c r="H10" s="10" t="inlineStr">
        <x:is>
          <x:t xml:space="preserve">Insight turnaround time, experiment win-rate, metric accuracy.</x:t>
        </x:is>
      </x:c>
      <x:c r="I10" s="10" t="inlineStr">
        <x:is>
          <x:t xml:space="preserve">Hybrid</x:t>
        </x:is>
      </x:c>
      <x:c r="J10" s="10" t="inlineStr">
        <x:is>
          <x:t xml:space="preserve">Employee</x:t>
        </x:is>
      </x:c>
      <x:c r="K10" s="10" t="inlineStr">
        <x:is>
          <x:t xml:space="preserve"/>
        </x:is>
      </x:c>
      <x:c r="L10" s="11">
        <x:f>Assumptions!$B$2*VLOOKUP(D10,Assumptions!$A$10:$B$18,2,FALSE)*VLOOKUP(B10,Assumptions!$A$22:$B$39,2,FALSE)</x:f>
        <x:v>21600000</x:v>
      </x:c>
      <x:c r="M10" s="11">
        <x:f>L10*(1-Assumptions!$B$3/2)</x:f>
        <x:v>19440000</x:v>
      </x:c>
      <x:c r="N10" s="11">
        <x:f>L10*(1+Assumptions!$B$3/2)</x:f>
        <x:v>23760000.000000004</x:v>
      </x:c>
      <x:c r="O10" s="11">
        <x:f>(L10/Assumptions!$B$4/Assumptions!$B$5)*Assumptions!$B$6</x:f>
        <x:v>196363.63636363635</x:v>
      </x:c>
      <x:c r="P10" s="11">
        <x:f>(L10/Assumptions!$B$4)*Assumptions!$B$6</x:f>
        <x:v>1570909.0909090908</x:v>
      </x:c>
      <x:c r="Q10" s="11">
        <x:f>L10*Assumptions!$B$6</x:f>
        <x:v>34560000</x:v>
      </x:c>
      <x:c r="R10" s="10" t="inlineStr">
        <x:is>
          <x:t xml:space="preserve"/>
        </x:is>
      </x:c>
    </x:row>
    <x:row r="11" ht="72" customHeight="1">
      <x:c r="A11" s="10" t="inlineStr">
        <x:is>
          <x:t xml:space="preserve">Product</x:t>
        </x:is>
      </x:c>
      <x:c r="B11" s="10" t="inlineStr">
        <x:is>
          <x:t xml:space="preserve">Product</x:t>
        </x:is>
      </x:c>
      <x:c r="C11" s="10" t="inlineStr">
        <x:is>
          <x:t xml:space="preserve">Product Owner (Scrum)</x:t>
        </x:is>
      </x:c>
      <x:c r="D11" s="10" t="inlineStr">
        <x:is>
          <x:t xml:space="preserve">Mid</x:t>
        </x:is>
      </x:c>
      <x:c r="E11" s="10" t="inlineStr">
        <x:is>
          <x:t xml:space="preserve">Mengelola backlog delivery, memastikan user story siap dan deliverable jelas.</x:t>
        </x:is>
      </x:c>
      <x:c r="F11" s="10" t="inlineStr">
        <x:is>
          <x:t xml:space="preserve">Refine backlog; write user stories; acceptance criteria; sprint planning support.</x:t>
        </x:is>
      </x:c>
      <x:c r="G11" s="10" t="inlineStr">
        <x:is>
          <x:t xml:space="preserve">Agile/Scrum, communication, requirements, basic analytics.</x:t>
        </x:is>
      </x:c>
      <x:c r="H11" s="10" t="inlineStr">
        <x:is>
          <x:t xml:space="preserve">Sprint goal hit-rate, rework rate, cycle time.</x:t>
        </x:is>
      </x:c>
      <x:c r="I11" s="10" t="inlineStr">
        <x:is>
          <x:t xml:space="preserve">Hybrid</x:t>
        </x:is>
      </x:c>
      <x:c r="J11" s="10" t="inlineStr">
        <x:is>
          <x:t xml:space="preserve">Employee</x:t>
        </x:is>
      </x:c>
      <x:c r="K11" s="10" t="inlineStr">
        <x:is>
          <x:t xml:space="preserve"/>
        </x:is>
      </x:c>
      <x:c r="L11" s="11">
        <x:f>Assumptions!$B$2*VLOOKUP(D11,Assumptions!$A$10:$B$18,2,FALSE)*VLOOKUP(B11,Assumptions!$A$22:$B$39,2,FALSE)</x:f>
        <x:v>21600000</x:v>
      </x:c>
      <x:c r="M11" s="11">
        <x:f>L11*(1-Assumptions!$B$3/2)</x:f>
        <x:v>19440000</x:v>
      </x:c>
      <x:c r="N11" s="11">
        <x:f>L11*(1+Assumptions!$B$3/2)</x:f>
        <x:v>23760000.000000004</x:v>
      </x:c>
      <x:c r="O11" s="11">
        <x:f>(L11/Assumptions!$B$4/Assumptions!$B$5)*Assumptions!$B$6</x:f>
        <x:v>196363.63636363635</x:v>
      </x:c>
      <x:c r="P11" s="11">
        <x:f>(L11/Assumptions!$B$4)*Assumptions!$B$6</x:f>
        <x:v>1570909.0909090908</x:v>
      </x:c>
      <x:c r="Q11" s="11">
        <x:f>L11*Assumptions!$B$6</x:f>
        <x:v>34560000</x:v>
      </x:c>
      <x:c r="R11" s="10" t="inlineStr">
        <x:is>
          <x:t xml:space="preserve"/>
        </x:is>
      </x:c>
    </x:row>
    <x:row r="12" ht="72" customHeight="1">
      <x:c r="A12" s="10" t="inlineStr">
        <x:is>
          <x:t xml:space="preserve">Design</x:t>
        </x:is>
      </x:c>
      <x:c r="B12" s="10" t="inlineStr">
        <x:is>
          <x:t xml:space="preserve">Design</x:t>
        </x:is>
      </x:c>
      <x:c r="C12" s="10" t="inlineStr">
        <x:is>
          <x:t xml:space="preserve">Product Designer (UI/UX)</x:t>
        </x:is>
      </x:c>
      <x:c r="D12" s="10" t="inlineStr">
        <x:is>
          <x:t xml:space="preserve">Mid</x:t>
        </x:is>
      </x:c>
      <x:c r="E12" s="10" t="inlineStr">
        <x:is>
          <x:t xml:space="preserve">Merancang pengalaman end-to-end dari user flow hingga UI yang usable dan konsisten.</x:t>
        </x:is>
      </x:c>
      <x:c r="F12" s="10" t="inlineStr">
        <x:is>
          <x:t xml:space="preserve">Wireframe &amp; prototype; design system usage; usability testing; handoff ke eng.</x:t>
        </x:is>
      </x:c>
      <x:c r="G12" s="10" t="inlineStr">
        <x:is>
          <x:t xml:space="preserve">UX design, UI, Figma, interaction design, design systems.</x:t>
        </x:is>
      </x:c>
      <x:c r="H12" s="10" t="inlineStr">
        <x:is>
          <x:t xml:space="preserve">Task success rate, usability issues found/fixed, design cycle time.</x:t>
        </x:is>
      </x:c>
      <x:c r="I12" s="10" t="inlineStr">
        <x:is>
          <x:t xml:space="preserve">Hybrid</x:t>
        </x:is>
      </x:c>
      <x:c r="J12" s="10" t="inlineStr">
        <x:is>
          <x:t xml:space="preserve">Employee</x:t>
        </x:is>
      </x:c>
      <x:c r="K12" s="10" t="inlineStr">
        <x:is>
          <x:t xml:space="preserve"/>
        </x:is>
      </x:c>
      <x:c r="L12" s="11">
        <x:f>Assumptions!$B$2*VLOOKUP(D12,Assumptions!$A$10:$B$18,2,FALSE)*VLOOKUP(B12,Assumptions!$A$22:$B$39,2,FALSE)</x:f>
        <x:v>19800000</x:v>
      </x:c>
      <x:c r="M12" s="11">
        <x:f>L12*(1-Assumptions!$B$3/2)</x:f>
        <x:v>17820000</x:v>
      </x:c>
      <x:c r="N12" s="11">
        <x:f>L12*(1+Assumptions!$B$3/2)</x:f>
        <x:v>21780000</x:v>
      </x:c>
      <x:c r="O12" s="11">
        <x:f>(L12/Assumptions!$B$4/Assumptions!$B$5)*Assumptions!$B$6</x:f>
        <x:v>180000</x:v>
      </x:c>
      <x:c r="P12" s="11">
        <x:f>(L12/Assumptions!$B$4)*Assumptions!$B$6</x:f>
        <x:v>1440000</x:v>
      </x:c>
      <x:c r="Q12" s="11">
        <x:f>L12*Assumptions!$B$6</x:f>
        <x:v>31680000</x:v>
      </x:c>
      <x:c r="R12" s="10" t="inlineStr">
        <x:is>
          <x:t xml:space="preserve"/>
        </x:is>
      </x:c>
    </x:row>
    <x:row r="13" ht="72" customHeight="1">
      <x:c r="A13" s="10" t="inlineStr">
        <x:is>
          <x:t xml:space="preserve">Design</x:t>
        </x:is>
      </x:c>
      <x:c r="B13" s="10" t="inlineStr">
        <x:is>
          <x:t xml:space="preserve">Design</x:t>
        </x:is>
      </x:c>
      <x:c r="C13" s="10" t="inlineStr">
        <x:is>
          <x:t xml:space="preserve">Senior Product Designer</x:t>
        </x:is>
      </x:c>
      <x:c r="D13" s="10" t="inlineStr">
        <x:is>
          <x:t xml:space="preserve">Senior</x:t>
        </x:is>
      </x:c>
      <x:c r="E13" s="10" t="inlineStr">
        <x:is>
          <x:t xml:space="preserve">Memimpin design untuk produk kompleks, menjaga kualitas dan konsistensi.</x:t>
        </x:is>
      </x:c>
      <x:c r="F13" s="10" t="inlineStr">
        <x:is>
          <x:t xml:space="preserve">Drive discovery; lead workshops; define patterns; mentor designer.</x:t>
        </x:is>
      </x:c>
      <x:c r="G13" s="10" t="inlineStr">
        <x:is>
          <x:t xml:space="preserve">Advanced UX, facilitation, systems thinking, storytelling.</x:t>
        </x:is>
      </x:c>
      <x:c r="H13" s="10" t="inlineStr">
        <x:is>
          <x:t xml:space="preserve">Customer satisfaction, reduced friction, design quality reviews.</x:t>
        </x:is>
      </x:c>
      <x:c r="I13" s="10" t="inlineStr">
        <x:is>
          <x:t xml:space="preserve">Hybrid</x:t>
        </x:is>
      </x:c>
      <x:c r="J13" s="10" t="inlineStr">
        <x:is>
          <x:t xml:space="preserve">Employee</x:t>
        </x:is>
      </x:c>
      <x:c r="K13" s="10" t="inlineStr">
        <x:is>
          <x:t xml:space="preserve"/>
        </x:is>
      </x:c>
      <x:c r="L13" s="11">
        <x:f>Assumptions!$B$2*VLOOKUP(D13,Assumptions!$A$10:$B$18,2,FALSE)*VLOOKUP(B13,Assumptions!$A$22:$B$39,2,FALSE)</x:f>
        <x:v>26730000.000000004</x:v>
      </x:c>
      <x:c r="M13" s="11">
        <x:f>L13*(1-Assumptions!$B$3/2)</x:f>
        <x:v>24057000.000000004</x:v>
      </x:c>
      <x:c r="N13" s="11">
        <x:f>L13*(1+Assumptions!$B$3/2)</x:f>
        <x:v>29403000.000000007</x:v>
      </x:c>
      <x:c r="O13" s="11">
        <x:f>(L13/Assumptions!$B$4/Assumptions!$B$5)*Assumptions!$B$6</x:f>
        <x:v>243000.00000000006</x:v>
      </x:c>
      <x:c r="P13" s="11">
        <x:f>(L13/Assumptions!$B$4)*Assumptions!$B$6</x:f>
        <x:v>1944000.0000000005</x:v>
      </x:c>
      <x:c r="Q13" s="11">
        <x:f>L13*Assumptions!$B$6</x:f>
        <x:v>42768000.00000001</x:v>
      </x:c>
      <x:c r="R13" s="10" t="inlineStr">
        <x:is>
          <x:t xml:space="preserve"/>
        </x:is>
      </x:c>
    </x:row>
    <x:row r="14" ht="72" customHeight="1">
      <x:c r="A14" s="10" t="inlineStr">
        <x:is>
          <x:t xml:space="preserve">Design</x:t>
        </x:is>
      </x:c>
      <x:c r="B14" s="10" t="inlineStr">
        <x:is>
          <x:t xml:space="preserve">Design</x:t>
        </x:is>
      </x:c>
      <x:c r="C14" s="10" t="inlineStr">
        <x:is>
          <x:t xml:space="preserve">UX Researcher</x:t>
        </x:is>
      </x:c>
      <x:c r="D14" s="10" t="inlineStr">
        <x:is>
          <x:t xml:space="preserve">Mid</x:t>
        </x:is>
      </x:c>
      <x:c r="E14" s="10" t="inlineStr">
        <x:is>
          <x:t xml:space="preserve">Menggali kebutuhan pengguna melalui riset kualitatif/kuantitatif.</x:t>
        </x:is>
      </x:c>
      <x:c r="F14" s="10" t="inlineStr">
        <x:is>
          <x:t xml:space="preserve">Plan studies; interviews; surveys; synthesize insights; share recommendations.</x:t>
        </x:is>
      </x:c>
      <x:c r="G14" s="10" t="inlineStr">
        <x:is>
          <x:t xml:space="preserve">Research methods, synthesis, communication, ethics.</x:t>
        </x:is>
      </x:c>
      <x:c r="H14" s="10" t="inlineStr">
        <x:is>
          <x:t xml:space="preserve">Research throughput, insight adoption rate.</x:t>
        </x:is>
      </x:c>
      <x:c r="I14" s="10" t="inlineStr">
        <x:is>
          <x:t xml:space="preserve">Hybrid</x:t>
        </x:is>
      </x:c>
      <x:c r="J14" s="10" t="inlineStr">
        <x:is>
          <x:t xml:space="preserve">Employee</x:t>
        </x:is>
      </x:c>
      <x:c r="K14" s="10" t="inlineStr">
        <x:is>
          <x:t xml:space="preserve"/>
        </x:is>
      </x:c>
      <x:c r="L14" s="11">
        <x:f>Assumptions!$B$2*VLOOKUP(D14,Assumptions!$A$10:$B$18,2,FALSE)*VLOOKUP(B14,Assumptions!$A$22:$B$39,2,FALSE)</x:f>
        <x:v>19800000</x:v>
      </x:c>
      <x:c r="M14" s="11">
        <x:f>L14*(1-Assumptions!$B$3/2)</x:f>
        <x:v>17820000</x:v>
      </x:c>
      <x:c r="N14" s="11">
        <x:f>L14*(1+Assumptions!$B$3/2)</x:f>
        <x:v>21780000</x:v>
      </x:c>
      <x:c r="O14" s="11">
        <x:f>(L14/Assumptions!$B$4/Assumptions!$B$5)*Assumptions!$B$6</x:f>
        <x:v>180000</x:v>
      </x:c>
      <x:c r="P14" s="11">
        <x:f>(L14/Assumptions!$B$4)*Assumptions!$B$6</x:f>
        <x:v>1440000</x:v>
      </x:c>
      <x:c r="Q14" s="11">
        <x:f>L14*Assumptions!$B$6</x:f>
        <x:v>31680000</x:v>
      </x:c>
      <x:c r="R14" s="10" t="inlineStr">
        <x:is>
          <x:t xml:space="preserve"/>
        </x:is>
      </x:c>
    </x:row>
    <x:row r="15" ht="72" customHeight="1">
      <x:c r="A15" s="10" t="inlineStr">
        <x:is>
          <x:t xml:space="preserve">Design</x:t>
        </x:is>
      </x:c>
      <x:c r="B15" s="10" t="inlineStr">
        <x:is>
          <x:t xml:space="preserve">Design</x:t>
        </x:is>
      </x:c>
      <x:c r="C15" s="10" t="inlineStr">
        <x:is>
          <x:t xml:space="preserve">Design System Lead</x:t>
        </x:is>
      </x:c>
      <x:c r="D15" s="10" t="inlineStr">
        <x:is>
          <x:t xml:space="preserve">Lead</x:t>
        </x:is>
      </x:c>
      <x:c r="E15" s="10" t="inlineStr">
        <x:is>
          <x:t xml:space="preserve">Mengelola design system (komponen, tokens, guideline) bersama FE engineering.</x:t>
        </x:is>
      </x:c>
      <x:c r="F15" s="10" t="inlineStr">
        <x:is>
          <x:t xml:space="preserve">Component governance; documentation; versioning; QA visual.</x:t>
        </x:is>
      </x:c>
      <x:c r="G15" s="10" t="inlineStr">
        <x:is>
          <x:t xml:space="preserve">Design systems, accessibility, collaboration, documentation.</x:t>
        </x:is>
      </x:c>
      <x:c r="H15" s="10" t="inlineStr">
        <x:is>
          <x:t xml:space="preserve">Reuse rate, UI consistency, accessibility compliance.</x:t>
        </x:is>
      </x:c>
      <x:c r="I15" s="10" t="inlineStr">
        <x:is>
          <x:t xml:space="preserve">Hybrid</x:t>
        </x:is>
      </x:c>
      <x:c r="J15" s="10" t="inlineStr">
        <x:is>
          <x:t xml:space="preserve">Employee</x:t>
        </x:is>
      </x:c>
      <x:c r="K15" s="10" t="inlineStr">
        <x:is>
          <x:t xml:space="preserve"/>
        </x:is>
      </x:c>
      <x:c r="L15" s="11">
        <x:f>Assumptions!$B$2*VLOOKUP(D15,Assumptions!$A$10:$B$18,2,FALSE)*VLOOKUP(B15,Assumptions!$A$22:$B$39,2,FALSE)</x:f>
        <x:v>31680000.000000004</x:v>
      </x:c>
      <x:c r="M15" s="11">
        <x:f>L15*(1-Assumptions!$B$3/2)</x:f>
        <x:v>28512000.000000004</x:v>
      </x:c>
      <x:c r="N15" s="11">
        <x:f>L15*(1+Assumptions!$B$3/2)</x:f>
        <x:v>34848000.00000001</x:v>
      </x:c>
      <x:c r="O15" s="11">
        <x:f>(L15/Assumptions!$B$4/Assumptions!$B$5)*Assumptions!$B$6</x:f>
        <x:v>288000.00000000006</x:v>
      </x:c>
      <x:c r="P15" s="11">
        <x:f>(L15/Assumptions!$B$4)*Assumptions!$B$6</x:f>
        <x:v>2304000.0000000005</x:v>
      </x:c>
      <x:c r="Q15" s="11">
        <x:f>L15*Assumptions!$B$6</x:f>
        <x:v>50688000.00000001</x:v>
      </x:c>
      <x:c r="R15" s="10" t="inlineStr">
        <x:is>
          <x:t xml:space="preserve"/>
        </x:is>
      </x:c>
    </x:row>
    <x:row r="16" ht="72" customHeight="1">
      <x:c r="A16" s="10" t="inlineStr">
        <x:is>
          <x:t xml:space="preserve">Engineering</x:t>
        </x:is>
      </x:c>
      <x:c r="B16" s="10" t="inlineStr">
        <x:is>
          <x:t xml:space="preserve">Engineering</x:t>
        </x:is>
      </x:c>
      <x:c r="C16" s="10" t="inlineStr">
        <x:is>
          <x:t xml:space="preserve">Software Engineer (Backend)</x:t>
        </x:is>
      </x:c>
      <x:c r="D16" s="10" t="inlineStr">
        <x:is>
          <x:t xml:space="preserve">Junior</x:t>
        </x:is>
      </x:c>
      <x:c r="E16" s="10" t="inlineStr">
        <x:is>
          <x:t xml:space="preserve">Membangun layanan backend dengan kualitas dan best practice yang baik.</x:t>
        </x:is>
      </x:c>
      <x:c r="F16" s="10" t="inlineStr">
        <x:is>
          <x:t xml:space="preserve">Implement API; unit tests; fix bugs; code review; dokumentasi.</x:t>
        </x:is>
      </x:c>
      <x:c r="G16" s="10" t="inlineStr">
        <x:is>
          <x:t xml:space="preserve">Backend fundamentals, REST, SQL, testing, Git.</x:t>
        </x:is>
      </x:c>
      <x:c r="H16" s="10" t="inlineStr">
        <x:is>
          <x:t xml:space="preserve">Story points delivered, defect rate, code quality.</x:t>
        </x:is>
      </x:c>
      <x:c r="I16" s="10" t="inlineStr">
        <x:is>
          <x:t xml:space="preserve">Hybrid</x:t>
        </x:is>
      </x:c>
      <x:c r="J16" s="10" t="inlineStr">
        <x:is>
          <x:t xml:space="preserve">Employee</x:t>
        </x:is>
      </x:c>
      <x:c r="K16" s="10" t="inlineStr">
        <x:is>
          <x:t xml:space="preserve"/>
        </x:is>
      </x:c>
      <x:c r="L16" s="11">
        <x:f>Assumptions!$B$2*VLOOKUP(D16,Assumptions!$A$10:$B$18,2,FALSE)*VLOOKUP(B16,Assumptions!$A$22:$B$39,2,FALSE)</x:f>
        <x:v>16380000</x:v>
      </x:c>
      <x:c r="M16" s="11">
        <x:f>L16*(1-Assumptions!$B$3/2)</x:f>
        <x:v>14742000</x:v>
      </x:c>
      <x:c r="N16" s="11">
        <x:f>L16*(1+Assumptions!$B$3/2)</x:f>
        <x:v>18018000</x:v>
      </x:c>
      <x:c r="O16" s="11">
        <x:f>(L16/Assumptions!$B$4/Assumptions!$B$5)*Assumptions!$B$6</x:f>
        <x:v>148909.0909090909</x:v>
      </x:c>
      <x:c r="P16" s="11">
        <x:f>(L16/Assumptions!$B$4)*Assumptions!$B$6</x:f>
        <x:v>1191272.7272727273</x:v>
      </x:c>
      <x:c r="Q16" s="11">
        <x:f>L16*Assumptions!$B$6</x:f>
        <x:v>26208000</x:v>
      </x:c>
      <x:c r="R16" s="10" t="inlineStr">
        <x:is>
          <x:t xml:space="preserve"/>
        </x:is>
      </x:c>
    </x:row>
    <x:row r="17" ht="72" customHeight="1">
      <x:c r="A17" s="10" t="inlineStr">
        <x:is>
          <x:t xml:space="preserve">Engineering</x:t>
        </x:is>
      </x:c>
      <x:c r="B17" s="10" t="inlineStr">
        <x:is>
          <x:t xml:space="preserve">Engineering</x:t>
        </x:is>
      </x:c>
      <x:c r="C17" s="10" t="inlineStr">
        <x:is>
          <x:t xml:space="preserve">Software Engineer (Backend)</x:t>
        </x:is>
      </x:c>
      <x:c r="D17" s="10" t="inlineStr">
        <x:is>
          <x:t xml:space="preserve">Mid</x:t>
        </x:is>
      </x:c>
      <x:c r="E17" s="10" t="inlineStr">
        <x:is>
          <x:t xml:space="preserve">Mengembangkan fitur backend, menjaga performa, reliability, dan maintainability.</x:t>
        </x:is>
      </x:c>
      <x:c r="F17" s="10" t="inlineStr">
        <x:is>
          <x:t xml:space="preserve">Design &amp; build services; optimize DB; observability; collaborate cross-team.</x:t>
        </x:is>
      </x:c>
      <x:c r="G17" s="10" t="inlineStr">
        <x:is>
          <x:t xml:space="preserve">System design basics, SQL optimization, CI/CD, monitoring.</x:t>
        </x:is>
      </x:c>
      <x:c r="H17" s="10" t="inlineStr">
        <x:is>
          <x:t xml:space="preserve">Latency, error rate, delivery cycle time.</x:t>
        </x:is>
      </x:c>
      <x:c r="I17" s="10" t="inlineStr">
        <x:is>
          <x:t xml:space="preserve">Hybrid</x:t>
        </x:is>
      </x:c>
      <x:c r="J17" s="10" t="inlineStr">
        <x:is>
          <x:t xml:space="preserve">Employee</x:t>
        </x:is>
      </x:c>
      <x:c r="K17" s="10" t="inlineStr">
        <x:is>
          <x:t xml:space="preserve"/>
        </x:is>
      </x:c>
      <x:c r="L17" s="11">
        <x:f>Assumptions!$B$2*VLOOKUP(D17,Assumptions!$A$10:$B$18,2,FALSE)*VLOOKUP(B17,Assumptions!$A$22:$B$39,2,FALSE)</x:f>
        <x:v>23400000</x:v>
      </x:c>
      <x:c r="M17" s="11">
        <x:f>L17*(1-Assumptions!$B$3/2)</x:f>
        <x:v>21060000</x:v>
      </x:c>
      <x:c r="N17" s="11">
        <x:f>L17*(1+Assumptions!$B$3/2)</x:f>
        <x:v>25740000.000000004</x:v>
      </x:c>
      <x:c r="O17" s="11">
        <x:f>(L17/Assumptions!$B$4/Assumptions!$B$5)*Assumptions!$B$6</x:f>
        <x:v>212727.2727272727</x:v>
      </x:c>
      <x:c r="P17" s="11">
        <x:f>(L17/Assumptions!$B$4)*Assumptions!$B$6</x:f>
        <x:v>1701818.1818181816</x:v>
      </x:c>
      <x:c r="Q17" s="11">
        <x:f>L17*Assumptions!$B$6</x:f>
        <x:v>37440000</x:v>
      </x:c>
      <x:c r="R17" s="10" t="inlineStr">
        <x:is>
          <x:t xml:space="preserve"/>
        </x:is>
      </x:c>
    </x:row>
    <x:row r="18" ht="72" customHeight="1">
      <x:c r="A18" s="10" t="inlineStr">
        <x:is>
          <x:t xml:space="preserve">Engineering</x:t>
        </x:is>
      </x:c>
      <x:c r="B18" s="10" t="inlineStr">
        <x:is>
          <x:t xml:space="preserve">Engineering</x:t>
        </x:is>
      </x:c>
      <x:c r="C18" s="10" t="inlineStr">
        <x:is>
          <x:t xml:space="preserve">Software Engineer (Backend)</x:t>
        </x:is>
      </x:c>
      <x:c r="D18" s="10" t="inlineStr">
        <x:is>
          <x:t xml:space="preserve">Senior</x:t>
        </x:is>
      </x:c>
      <x:c r="E18" s="10" t="inlineStr">
        <x:is>
          <x:t xml:space="preserve">Memimpin solusi teknis untuk area backend, coaching dan quality bar.</x:t>
        </x:is>
      </x:c>
      <x:c r="F18" s="10" t="inlineStr">
        <x:is>
          <x:t xml:space="preserve">Own architecture decisions; lead incident response; mentor engineers.</x:t>
        </x:is>
      </x:c>
      <x:c r="G18" s="10" t="inlineStr">
        <x:is>
          <x:t xml:space="preserve">Distributed systems, performance, leadership, reliability.</x:t>
        </x:is>
      </x:c>
      <x:c r="H18" s="10" t="inlineStr">
        <x:is>
          <x:t xml:space="preserve">SLA, incident reduction, mentoring impact.</x:t>
        </x:is>
      </x:c>
      <x:c r="I18" s="10" t="inlineStr">
        <x:is>
          <x:t xml:space="preserve">Hybrid</x:t>
        </x:is>
      </x:c>
      <x:c r="J18" s="10" t="inlineStr">
        <x:is>
          <x:t xml:space="preserve">Employee</x:t>
        </x:is>
      </x:c>
      <x:c r="K18" s="10" t="inlineStr">
        <x:is>
          <x:t xml:space="preserve"/>
        </x:is>
      </x:c>
      <x:c r="L18" s="11">
        <x:f>Assumptions!$B$2*VLOOKUP(D18,Assumptions!$A$10:$B$18,2,FALSE)*VLOOKUP(B18,Assumptions!$A$22:$B$39,2,FALSE)</x:f>
        <x:v>31590000</x:v>
      </x:c>
      <x:c r="M18" s="11">
        <x:f>L18*(1-Assumptions!$B$3/2)</x:f>
        <x:v>28431000</x:v>
      </x:c>
      <x:c r="N18" s="11">
        <x:f>L18*(1+Assumptions!$B$3/2)</x:f>
        <x:v>34749000</x:v>
      </x:c>
      <x:c r="O18" s="11">
        <x:f>(L18/Assumptions!$B$4/Assumptions!$B$5)*Assumptions!$B$6</x:f>
        <x:v>287181.8181818182</x:v>
      </x:c>
      <x:c r="P18" s="11">
        <x:f>(L18/Assumptions!$B$4)*Assumptions!$B$6</x:f>
        <x:v>2297454.5454545454</x:v>
      </x:c>
      <x:c r="Q18" s="11">
        <x:f>L18*Assumptions!$B$6</x:f>
        <x:v>50544000</x:v>
      </x:c>
      <x:c r="R18" s="10" t="inlineStr">
        <x:is>
          <x:t xml:space="preserve"/>
        </x:is>
      </x:c>
    </x:row>
    <x:row r="19" ht="72" customHeight="1">
      <x:c r="A19" s="10" t="inlineStr">
        <x:is>
          <x:t xml:space="preserve">Engineering</x:t>
        </x:is>
      </x:c>
      <x:c r="B19" s="10" t="inlineStr">
        <x:is>
          <x:t xml:space="preserve">Engineering</x:t>
        </x:is>
      </x:c>
      <x:c r="C19" s="10" t="inlineStr">
        <x:is>
          <x:t xml:space="preserve">Software Engineer (Frontend)</x:t>
        </x:is>
      </x:c>
      <x:c r="D19" s="10" t="inlineStr">
        <x:is>
          <x:t xml:space="preserve">Mid</x:t>
        </x:is>
      </x:c>
      <x:c r="E19" s="10" t="inlineStr">
        <x:is>
          <x:t xml:space="preserve">Membangun UI web yang performant dan accessible dengan arsitektur yang rapi.</x:t>
        </x:is>
      </x:c>
      <x:c r="F19" s="10" t="inlineStr">
        <x:is>
          <x:t xml:space="preserve">Develop components; state mgmt; testing; optimize performance; integrate APIs.</x:t>
        </x:is>
      </x:c>
      <x:c r="G19" s="10" t="inlineStr">
        <x:is>
          <x:t xml:space="preserve">JS/TS, React/Vue, CSS, testing, accessibility.</x:t>
        </x:is>
      </x:c>
      <x:c r="H19" s="10" t="inlineStr">
        <x:is>
          <x:t xml:space="preserve">Page performance, UI defects, delivery velocity.</x:t>
        </x:is>
      </x:c>
      <x:c r="I19" s="10" t="inlineStr">
        <x:is>
          <x:t xml:space="preserve">Hybrid</x:t>
        </x:is>
      </x:c>
      <x:c r="J19" s="10" t="inlineStr">
        <x:is>
          <x:t xml:space="preserve">Employee</x:t>
        </x:is>
      </x:c>
      <x:c r="K19" s="10" t="inlineStr">
        <x:is>
          <x:t xml:space="preserve"/>
        </x:is>
      </x:c>
      <x:c r="L19" s="11">
        <x:f>Assumptions!$B$2*VLOOKUP(D19,Assumptions!$A$10:$B$18,2,FALSE)*VLOOKUP(B19,Assumptions!$A$22:$B$39,2,FALSE)</x:f>
        <x:v>23400000</x:v>
      </x:c>
      <x:c r="M19" s="11">
        <x:f>L19*(1-Assumptions!$B$3/2)</x:f>
        <x:v>21060000</x:v>
      </x:c>
      <x:c r="N19" s="11">
        <x:f>L19*(1+Assumptions!$B$3/2)</x:f>
        <x:v>25740000.000000004</x:v>
      </x:c>
      <x:c r="O19" s="11">
        <x:f>(L19/Assumptions!$B$4/Assumptions!$B$5)*Assumptions!$B$6</x:f>
        <x:v>212727.2727272727</x:v>
      </x:c>
      <x:c r="P19" s="11">
        <x:f>(L19/Assumptions!$B$4)*Assumptions!$B$6</x:f>
        <x:v>1701818.1818181816</x:v>
      </x:c>
      <x:c r="Q19" s="11">
        <x:f>L19*Assumptions!$B$6</x:f>
        <x:v>37440000</x:v>
      </x:c>
      <x:c r="R19" s="10" t="inlineStr">
        <x:is>
          <x:t xml:space="preserve"/>
        </x:is>
      </x:c>
    </x:row>
    <x:row r="20" ht="72" customHeight="1">
      <x:c r="A20" s="10" t="inlineStr">
        <x:is>
          <x:t xml:space="preserve">Engineering</x:t>
        </x:is>
      </x:c>
      <x:c r="B20" s="10" t="inlineStr">
        <x:is>
          <x:t xml:space="preserve">Engineering</x:t>
        </x:is>
      </x:c>
      <x:c r="C20" s="10" t="inlineStr">
        <x:is>
          <x:t xml:space="preserve">Mobile Engineer (iOS/Android)</x:t>
        </x:is>
      </x:c>
      <x:c r="D20" s="10" t="inlineStr">
        <x:is>
          <x:t xml:space="preserve">Mid</x:t>
        </x:is>
      </x:c>
      <x:c r="E20" s="10" t="inlineStr">
        <x:is>
          <x:t xml:space="preserve">Mengembangkan aplikasi mobile yang stabil dan user-friendly.</x:t>
        </x:is>
      </x:c>
      <x:c r="F20" s="10" t="inlineStr">
        <x:is>
          <x:t xml:space="preserve">Implement features; manage releases; crash monitoring; performance tuning.</x:t>
        </x:is>
      </x:c>
      <x:c r="G20" s="10" t="inlineStr">
        <x:is>
          <x:t xml:space="preserve">Swift/Kotlin, mobile architecture, CI/CD, analytics SDK.</x:t>
        </x:is>
      </x:c>
      <x:c r="H20" s="10" t="inlineStr">
        <x:is>
          <x:t xml:space="preserve">Crash-free rate, app rating, release cadence.</x:t>
        </x:is>
      </x:c>
      <x:c r="I20" s="10" t="inlineStr">
        <x:is>
          <x:t xml:space="preserve">Hybrid</x:t>
        </x:is>
      </x:c>
      <x:c r="J20" s="10" t="inlineStr">
        <x:is>
          <x:t xml:space="preserve">Employee</x:t>
        </x:is>
      </x:c>
      <x:c r="K20" s="10" t="inlineStr">
        <x:is>
          <x:t xml:space="preserve"/>
        </x:is>
      </x:c>
      <x:c r="L20" s="11">
        <x:f>Assumptions!$B$2*VLOOKUP(D20,Assumptions!$A$10:$B$18,2,FALSE)*VLOOKUP(B20,Assumptions!$A$22:$B$39,2,FALSE)</x:f>
        <x:v>23400000</x:v>
      </x:c>
      <x:c r="M20" s="11">
        <x:f>L20*(1-Assumptions!$B$3/2)</x:f>
        <x:v>21060000</x:v>
      </x:c>
      <x:c r="N20" s="11">
        <x:f>L20*(1+Assumptions!$B$3/2)</x:f>
        <x:v>25740000.000000004</x:v>
      </x:c>
      <x:c r="O20" s="11">
        <x:f>(L20/Assumptions!$B$4/Assumptions!$B$5)*Assumptions!$B$6</x:f>
        <x:v>212727.2727272727</x:v>
      </x:c>
      <x:c r="P20" s="11">
        <x:f>(L20/Assumptions!$B$4)*Assumptions!$B$6</x:f>
        <x:v>1701818.1818181816</x:v>
      </x:c>
      <x:c r="Q20" s="11">
        <x:f>L20*Assumptions!$B$6</x:f>
        <x:v>37440000</x:v>
      </x:c>
      <x:c r="R20" s="10" t="inlineStr">
        <x:is>
          <x:t xml:space="preserve"/>
        </x:is>
      </x:c>
    </x:row>
    <x:row r="21" ht="72" customHeight="1">
      <x:c r="A21" s="10" t="inlineStr">
        <x:is>
          <x:t xml:space="preserve">Engineering</x:t>
        </x:is>
      </x:c>
      <x:c r="B21" s="10" t="inlineStr">
        <x:is>
          <x:t xml:space="preserve">Engineering</x:t>
        </x:is>
      </x:c>
      <x:c r="C21" s="10" t="inlineStr">
        <x:is>
          <x:t xml:space="preserve">Tech Lead</x:t>
        </x:is>
      </x:c>
      <x:c r="D21" s="10" t="inlineStr">
        <x:is>
          <x:t xml:space="preserve">Lead</x:t>
        </x:is>
      </x:c>
      <x:c r="E21" s="10" t="inlineStr">
        <x:is>
          <x:t xml:space="preserve">Mengkoordinasi delivery teknis tim, menjaga kualitas dan arsitektur.</x:t>
        </x:is>
      </x:c>
      <x:c r="F21" s="10" t="inlineStr">
        <x:is>
          <x:t xml:space="preserve">Technical planning; design reviews; unblock team; ensure best practices.</x:t>
        </x:is>
      </x:c>
      <x:c r="G21" s="10" t="inlineStr">
        <x:is>
          <x:t xml:space="preserve">Leadership, system design, communication, delivery management.</x:t>
        </x:is>
      </x:c>
      <x:c r="H21" s="10" t="inlineStr">
        <x:is>
          <x:t xml:space="preserve">Predictability, defect rate, team throughput.</x:t>
        </x:is>
      </x:c>
      <x:c r="I21" s="10" t="inlineStr">
        <x:is>
          <x:t xml:space="preserve">Hybrid</x:t>
        </x:is>
      </x:c>
      <x:c r="J21" s="10" t="inlineStr">
        <x:is>
          <x:t xml:space="preserve">Employee</x:t>
        </x:is>
      </x:c>
      <x:c r="K21" s="10" t="inlineStr">
        <x:is>
          <x:t xml:space="preserve"/>
        </x:is>
      </x:c>
      <x:c r="L21" s="11">
        <x:f>Assumptions!$B$2*VLOOKUP(D21,Assumptions!$A$10:$B$18,2,FALSE)*VLOOKUP(B21,Assumptions!$A$22:$B$39,2,FALSE)</x:f>
        <x:v>37440000</x:v>
      </x:c>
      <x:c r="M21" s="11">
        <x:f>L21*(1-Assumptions!$B$3/2)</x:f>
        <x:v>33696000</x:v>
      </x:c>
      <x:c r="N21" s="11">
        <x:f>L21*(1+Assumptions!$B$3/2)</x:f>
        <x:v>41184000</x:v>
      </x:c>
      <x:c r="O21" s="11">
        <x:f>(L21/Assumptions!$B$4/Assumptions!$B$5)*Assumptions!$B$6</x:f>
        <x:v>340363.6363636364</x:v>
      </x:c>
      <x:c r="P21" s="11">
        <x:f>(L21/Assumptions!$B$4)*Assumptions!$B$6</x:f>
        <x:v>2722909.0909090913</x:v>
      </x:c>
      <x:c r="Q21" s="11">
        <x:f>L21*Assumptions!$B$6</x:f>
        <x:v>59904000</x:v>
      </x:c>
      <x:c r="R21" s="10" t="inlineStr">
        <x:is>
          <x:t xml:space="preserve"/>
        </x:is>
      </x:c>
    </x:row>
    <x:row r="22" ht="72" customHeight="1">
      <x:c r="A22" s="10" t="inlineStr">
        <x:is>
          <x:t xml:space="preserve">Engineering</x:t>
        </x:is>
      </x:c>
      <x:c r="B22" s="10" t="inlineStr">
        <x:is>
          <x:t xml:space="preserve">Engineering</x:t>
        </x:is>
      </x:c>
      <x:c r="C22" s="10" t="inlineStr">
        <x:is>
          <x:t xml:space="preserve">Engineering Manager</x:t>
        </x:is>
      </x:c>
      <x:c r="D22" s="10" t="inlineStr">
        <x:is>
          <x:t xml:space="preserve">Manager</x:t>
        </x:is>
      </x:c>
      <x:c r="E22" s="10" t="inlineStr">
        <x:is>
          <x:t xml:space="preserve">Mengelola people &amp; delivery untuk tim engineering.</x:t>
        </x:is>
      </x:c>
      <x:c r="F22" s="10" t="inlineStr">
        <x:is>
          <x:t xml:space="preserve">Hiring; performance coaching; planning; stakeholder management; process improvements.</x:t>
        </x:is>
      </x:c>
      <x:c r="G22" s="10" t="inlineStr">
        <x:is>
          <x:t xml:space="preserve">People management, agile delivery, technical literacy.</x:t>
        </x:is>
      </x:c>
      <x:c r="H22" s="10" t="inlineStr">
        <x:is>
          <x:t xml:space="preserve">Team health, delivery predictability, retention.</x:t>
        </x:is>
      </x:c>
      <x:c r="I22" s="10" t="inlineStr">
        <x:is>
          <x:t xml:space="preserve">Hybrid</x:t>
        </x:is>
      </x:c>
      <x:c r="J22" s="10" t="inlineStr">
        <x:is>
          <x:t xml:space="preserve">Employee</x:t>
        </x:is>
      </x:c>
      <x:c r="K22" s="10" t="inlineStr">
        <x:is>
          <x:t xml:space="preserve"/>
        </x:is>
      </x:c>
      <x:c r="L22" s="11">
        <x:f>Assumptions!$B$2*VLOOKUP(D22,Assumptions!$A$10:$B$18,2,FALSE)*VLOOKUP(B22,Assumptions!$A$22:$B$39,2,FALSE)</x:f>
        <x:v>42120000</x:v>
      </x:c>
      <x:c r="M22" s="11">
        <x:f>L22*(1-Assumptions!$B$3/2)</x:f>
        <x:v>37908000</x:v>
      </x:c>
      <x:c r="N22" s="11">
        <x:f>L22*(1+Assumptions!$B$3/2)</x:f>
        <x:v>46332000.00000001</x:v>
      </x:c>
      <x:c r="O22" s="11">
        <x:f>(L22/Assumptions!$B$4/Assumptions!$B$5)*Assumptions!$B$6</x:f>
        <x:v>382909.09090909094</x:v>
      </x:c>
      <x:c r="P22" s="11">
        <x:f>(L22/Assumptions!$B$4)*Assumptions!$B$6</x:f>
        <x:v>3063272.7272727275</x:v>
      </x:c>
      <x:c r="Q22" s="11">
        <x:f>L22*Assumptions!$B$6</x:f>
        <x:v>67392000</x:v>
      </x:c>
      <x:c r="R22" s="10" t="inlineStr">
        <x:is>
          <x:t xml:space="preserve"/>
        </x:is>
      </x:c>
    </x:row>
    <x:row r="23" ht="72" customHeight="1">
      <x:c r="A23" s="10" t="inlineStr">
        <x:is>
          <x:t xml:space="preserve">Quality Assurance</x:t>
        </x:is>
      </x:c>
      <x:c r="B23" s="10" t="inlineStr">
        <x:is>
          <x:t xml:space="preserve">QA</x:t>
        </x:is>
      </x:c>
      <x:c r="C23" s="10" t="inlineStr">
        <x:is>
          <x:t xml:space="preserve">QA Engineer (Manual)</x:t>
        </x:is>
      </x:c>
      <x:c r="D23" s="10" t="inlineStr">
        <x:is>
          <x:t xml:space="preserve">Junior</x:t>
        </x:is>
      </x:c>
      <x:c r="E23" s="10" t="inlineStr">
        <x:is>
          <x:t xml:space="preserve">Melakukan pengujian manual untuk memastikan kualitas fitur sebelum rilis.</x:t>
        </x:is>
      </x:c>
      <x:c r="F23" s="10" t="inlineStr">
        <x:is>
          <x:t xml:space="preserve">Write test cases; execute regression; report bugs; verify fixes.</x:t>
        </x:is>
      </x:c>
      <x:c r="G23" s="10" t="inlineStr">
        <x:is>
          <x:t xml:space="preserve">Test design, attention to detail, basic SQL, communication.</x:t>
        </x:is>
      </x:c>
      <x:c r="H23" s="10" t="inlineStr">
        <x:is>
          <x:t xml:space="preserve">Defect detection rate, escaped defects, test coverage.</x:t>
        </x:is>
      </x:c>
      <x:c r="I23" s="10" t="inlineStr">
        <x:is>
          <x:t xml:space="preserve">Hybrid</x:t>
        </x:is>
      </x:c>
      <x:c r="J23" s="10" t="inlineStr">
        <x:is>
          <x:t xml:space="preserve">Employee</x:t>
        </x:is>
      </x:c>
      <x:c r="K23" s="10" t="inlineStr">
        <x:is>
          <x:t xml:space="preserve"/>
        </x:is>
      </x:c>
      <x:c r="L23" s="11">
        <x:f>Assumptions!$B$2*VLOOKUP(D23,Assumptions!$A$10:$B$18,2,FALSE)*VLOOKUP(B23,Assumptions!$A$22:$B$39,2,FALSE)</x:f>
        <x:v>12600000</x:v>
      </x:c>
      <x:c r="M23" s="11">
        <x:f>L23*(1-Assumptions!$B$3/2)</x:f>
        <x:v>11340000</x:v>
      </x:c>
      <x:c r="N23" s="11">
        <x:f>L23*(1+Assumptions!$B$3/2)</x:f>
        <x:v>13860000.000000002</x:v>
      </x:c>
      <x:c r="O23" s="11">
        <x:f>(L23/Assumptions!$B$4/Assumptions!$B$5)*Assumptions!$B$6</x:f>
        <x:v>114545.45454545454</x:v>
      </x:c>
      <x:c r="P23" s="11">
        <x:f>(L23/Assumptions!$B$4)*Assumptions!$B$6</x:f>
        <x:v>916363.6363636364</x:v>
      </x:c>
      <x:c r="Q23" s="11">
        <x:f>L23*Assumptions!$B$6</x:f>
        <x:v>20160000</x:v>
      </x:c>
      <x:c r="R23" s="10" t="inlineStr">
        <x:is>
          <x:t xml:space="preserve"/>
        </x:is>
      </x:c>
    </x:row>
    <x:row r="24" ht="72" customHeight="1">
      <x:c r="A24" s="10" t="inlineStr">
        <x:is>
          <x:t xml:space="preserve">Quality Assurance</x:t>
        </x:is>
      </x:c>
      <x:c r="B24" s="10" t="inlineStr">
        <x:is>
          <x:t xml:space="preserve">QA</x:t>
        </x:is>
      </x:c>
      <x:c r="C24" s="10" t="inlineStr">
        <x:is>
          <x:t xml:space="preserve">QA Automation Engineer</x:t>
        </x:is>
      </x:c>
      <x:c r="D24" s="10" t="inlineStr">
        <x:is>
          <x:t xml:space="preserve">Mid</x:t>
        </x:is>
      </x:c>
      <x:c r="E24" s="10" t="inlineStr">
        <x:is>
          <x:t xml:space="preserve">Mengotomasi pengujian untuk meningkatkan coverage dan kecepatan release.</x:t>
        </x:is>
      </x:c>
      <x:c r="F24" s="10" t="inlineStr">
        <x:is>
          <x:t xml:space="preserve">Build automation frameworks; integrate CI; maintain test suites; flaky test management.</x:t>
        </x:is>
      </x:c>
      <x:c r="G24" s="10" t="inlineStr">
        <x:is>
          <x:t xml:space="preserve">Automation tools, coding, CI/CD, testing strategy.</x:t>
        </x:is>
      </x:c>
      <x:c r="H24" s="10" t="inlineStr">
        <x:is>
          <x:t xml:space="preserve">Automation coverage, pipeline stability, cycle time reduction.</x:t>
        </x:is>
      </x:c>
      <x:c r="I24" s="10" t="inlineStr">
        <x:is>
          <x:t xml:space="preserve">Hybrid</x:t>
        </x:is>
      </x:c>
      <x:c r="J24" s="10" t="inlineStr">
        <x:is>
          <x:t xml:space="preserve">Employee</x:t>
        </x:is>
      </x:c>
      <x:c r="K24" s="10" t="inlineStr">
        <x:is>
          <x:t xml:space="preserve"/>
        </x:is>
      </x:c>
      <x:c r="L24" s="11">
        <x:f>Assumptions!$B$2*VLOOKUP(D24,Assumptions!$A$10:$B$18,2,FALSE)*VLOOKUP(B24,Assumptions!$A$22:$B$39,2,FALSE)</x:f>
        <x:v>18000000</x:v>
      </x:c>
      <x:c r="M24" s="11">
        <x:f>L24*(1-Assumptions!$B$3/2)</x:f>
        <x:v>16200000</x:v>
      </x:c>
      <x:c r="N24" s="11">
        <x:f>L24*(1+Assumptions!$B$3/2)</x:f>
        <x:v>19800000</x:v>
      </x:c>
      <x:c r="O24" s="11">
        <x:f>(L24/Assumptions!$B$4/Assumptions!$B$5)*Assumptions!$B$6</x:f>
        <x:v>163636.36363636365</x:v>
      </x:c>
      <x:c r="P24" s="11">
        <x:f>(L24/Assumptions!$B$4)*Assumptions!$B$6</x:f>
        <x:v>1309090.9090909092</x:v>
      </x:c>
      <x:c r="Q24" s="11">
        <x:f>L24*Assumptions!$B$6</x:f>
        <x:v>28800000</x:v>
      </x:c>
      <x:c r="R24" s="10" t="inlineStr">
        <x:is>
          <x:t xml:space="preserve"/>
        </x:is>
      </x:c>
    </x:row>
    <x:row r="25" ht="72" customHeight="1">
      <x:c r="A25" s="10" t="inlineStr">
        <x:is>
          <x:t xml:space="preserve">Quality Assurance</x:t>
        </x:is>
      </x:c>
      <x:c r="B25" s="10" t="inlineStr">
        <x:is>
          <x:t xml:space="preserve">QA</x:t>
        </x:is>
      </x:c>
      <x:c r="C25" s="10" t="inlineStr">
        <x:is>
          <x:t xml:space="preserve">QA Lead</x:t>
        </x:is>
      </x:c>
      <x:c r="D25" s="10" t="inlineStr">
        <x:is>
          <x:t xml:space="preserve">Lead</x:t>
        </x:is>
      </x:c>
      <x:c r="E25" s="10" t="inlineStr">
        <x:is>
          <x:t xml:space="preserve">Mengatur strategi QA lintas tim untuk menjaga kualitas produk.</x:t>
        </x:is>
      </x:c>
      <x:c r="F25" s="10" t="inlineStr">
        <x:is>
          <x:t xml:space="preserve">Define QA strategy; triage; release sign-off; mentoring QA.</x:t>
        </x:is>
      </x:c>
      <x:c r="G25" s="10" t="inlineStr">
        <x:is>
          <x:t xml:space="preserve">Testing leadership, risk assessment, stakeholder mgmt.</x:t>
        </x:is>
      </x:c>
      <x:c r="H25" s="10" t="inlineStr">
        <x:is>
          <x:t xml:space="preserve">Escaped defects, release quality, test efficiency.</x:t>
        </x:is>
      </x:c>
      <x:c r="I25" s="10" t="inlineStr">
        <x:is>
          <x:t xml:space="preserve">Hybrid</x:t>
        </x:is>
      </x:c>
      <x:c r="J25" s="10" t="inlineStr">
        <x:is>
          <x:t xml:space="preserve">Employee</x:t>
        </x:is>
      </x:c>
      <x:c r="K25" s="10" t="inlineStr">
        <x:is>
          <x:t xml:space="preserve"/>
        </x:is>
      </x:c>
      <x:c r="L25" s="11">
        <x:f>Assumptions!$B$2*VLOOKUP(D25,Assumptions!$A$10:$B$18,2,FALSE)*VLOOKUP(B25,Assumptions!$A$22:$B$39,2,FALSE)</x:f>
        <x:v>28800000</x:v>
      </x:c>
      <x:c r="M25" s="11">
        <x:f>L25*(1-Assumptions!$B$3/2)</x:f>
        <x:v>25920000</x:v>
      </x:c>
      <x:c r="N25" s="11">
        <x:f>L25*(1+Assumptions!$B$3/2)</x:f>
        <x:v>31680000.000000004</x:v>
      </x:c>
      <x:c r="O25" s="11">
        <x:f>(L25/Assumptions!$B$4/Assumptions!$B$5)*Assumptions!$B$6</x:f>
        <x:v>261818.18181818185</x:v>
      </x:c>
      <x:c r="P25" s="11">
        <x:f>(L25/Assumptions!$B$4)*Assumptions!$B$6</x:f>
        <x:v>2094545.4545454548</x:v>
      </x:c>
      <x:c r="Q25" s="11">
        <x:f>L25*Assumptions!$B$6</x:f>
        <x:v>46080000</x:v>
      </x:c>
      <x:c r="R25" s="10" t="inlineStr">
        <x:is>
          <x:t xml:space="preserve"/>
        </x:is>
      </x:c>
    </x:row>
    <x:row r="26" ht="72" customHeight="1">
      <x:c r="A26" s="10" t="inlineStr">
        <x:is>
          <x:t xml:space="preserve">Data</x:t>
        </x:is>
      </x:c>
      <x:c r="B26" s="10" t="inlineStr">
        <x:is>
          <x:t xml:space="preserve">Data</x:t>
        </x:is>
      </x:c>
      <x:c r="C26" s="10" t="inlineStr">
        <x:is>
          <x:t xml:space="preserve">Data Analyst</x:t>
        </x:is>
      </x:c>
      <x:c r="D26" s="10" t="inlineStr">
        <x:is>
          <x:t xml:space="preserve">Junior</x:t>
        </x:is>
      </x:c>
      <x:c r="E26" s="10" t="inlineStr">
        <x:is>
          <x:t xml:space="preserve">Membuat laporan dan analisis untuk mendukung keputusan bisnis/produk.</x:t>
        </x:is>
      </x:c>
      <x:c r="F26" s="10" t="inlineStr">
        <x:is>
          <x:t xml:space="preserve">SQL queries; dashboards; basic analysis; data quality checks.</x:t>
        </x:is>
      </x:c>
      <x:c r="G26" s="10" t="inlineStr">
        <x:is>
          <x:t xml:space="preserve">SQL, BI, Excel, communication.</x:t>
        </x:is>
      </x:c>
      <x:c r="H26" s="10" t="inlineStr">
        <x:is>
          <x:t xml:space="preserve">Dashboard adoption, request turnaround time.</x:t>
        </x:is>
      </x:c>
      <x:c r="I26" s="10" t="inlineStr">
        <x:is>
          <x:t xml:space="preserve">Hybrid</x:t>
        </x:is>
      </x:c>
      <x:c r="J26" s="10" t="inlineStr">
        <x:is>
          <x:t xml:space="preserve">Employee</x:t>
        </x:is>
      </x:c>
      <x:c r="K26" s="10" t="inlineStr">
        <x:is>
          <x:t xml:space="preserve"/>
        </x:is>
      </x:c>
      <x:c r="L26" s="11">
        <x:f>Assumptions!$B$2*VLOOKUP(D26,Assumptions!$A$10:$B$18,2,FALSE)*VLOOKUP(B26,Assumptions!$A$22:$B$39,2,FALSE)</x:f>
        <x:v>15750000</x:v>
      </x:c>
      <x:c r="M26" s="11">
        <x:f>L26*(1-Assumptions!$B$3/2)</x:f>
        <x:v>14175000</x:v>
      </x:c>
      <x:c r="N26" s="11">
        <x:f>L26*(1+Assumptions!$B$3/2)</x:f>
        <x:v>17325000</x:v>
      </x:c>
      <x:c r="O26" s="11">
        <x:f>(L26/Assumptions!$B$4/Assumptions!$B$5)*Assumptions!$B$6</x:f>
        <x:v>143181.8181818182</x:v>
      </x:c>
      <x:c r="P26" s="11">
        <x:f>(L26/Assumptions!$B$4)*Assumptions!$B$6</x:f>
        <x:v>1145454.5454545456</x:v>
      </x:c>
      <x:c r="Q26" s="11">
        <x:f>L26*Assumptions!$B$6</x:f>
        <x:v>25200000</x:v>
      </x:c>
      <x:c r="R26" s="10" t="inlineStr">
        <x:is>
          <x:t xml:space="preserve"/>
        </x:is>
      </x:c>
    </x:row>
    <x:row r="27" ht="72" customHeight="1">
      <x:c r="A27" s="10" t="inlineStr">
        <x:is>
          <x:t xml:space="preserve">Data</x:t>
        </x:is>
      </x:c>
      <x:c r="B27" s="10" t="inlineStr">
        <x:is>
          <x:t xml:space="preserve">Data</x:t>
        </x:is>
      </x:c>
      <x:c r="C27" s="10" t="inlineStr">
        <x:is>
          <x:t xml:space="preserve">Data Analyst</x:t>
        </x:is>
      </x:c>
      <x:c r="D27" s="10" t="inlineStr">
        <x:is>
          <x:t xml:space="preserve">Mid</x:t>
        </x:is>
      </x:c>
      <x:c r="E27" s="10" t="inlineStr">
        <x:is>
          <x:t xml:space="preserve">Menghasilkan insight mendalam dan rekomendasi berbasis data.</x:t>
        </x:is>
      </x:c>
      <x:c r="F27" s="10" t="inlineStr">
        <x:is>
          <x:t xml:space="preserve">Cohort &amp; funnel analysis; define metrics; partner with stakeholders; A/B insights.</x:t>
        </x:is>
      </x:c>
      <x:c r="G27" s="10" t="inlineStr">
        <x:is>
          <x:t xml:space="preserve">SQL, stats basics, storytelling, metric design.</x:t>
        </x:is>
      </x:c>
      <x:c r="H27" s="10" t="inlineStr">
        <x:is>
          <x:t xml:space="preserve">Insight impact, metric reliability, experiment evaluation.</x:t>
        </x:is>
      </x:c>
      <x:c r="I27" s="10" t="inlineStr">
        <x:is>
          <x:t xml:space="preserve">Hybrid</x:t>
        </x:is>
      </x:c>
      <x:c r="J27" s="10" t="inlineStr">
        <x:is>
          <x:t xml:space="preserve">Employee</x:t>
        </x:is>
      </x:c>
      <x:c r="K27" s="10" t="inlineStr">
        <x:is>
          <x:t xml:space="preserve"/>
        </x:is>
      </x:c>
      <x:c r="L27" s="11">
        <x:f>Assumptions!$B$2*VLOOKUP(D27,Assumptions!$A$10:$B$18,2,FALSE)*VLOOKUP(B27,Assumptions!$A$22:$B$39,2,FALSE)</x:f>
        <x:v>22500000</x:v>
      </x:c>
      <x:c r="M27" s="11">
        <x:f>L27*(1-Assumptions!$B$3/2)</x:f>
        <x:v>20250000</x:v>
      </x:c>
      <x:c r="N27" s="11">
        <x:f>L27*(1+Assumptions!$B$3/2)</x:f>
        <x:v>24750000.000000004</x:v>
      </x:c>
      <x:c r="O27" s="11">
        <x:f>(L27/Assumptions!$B$4/Assumptions!$B$5)*Assumptions!$B$6</x:f>
        <x:v>204545.45454545456</x:v>
      </x:c>
      <x:c r="P27" s="11">
        <x:f>(L27/Assumptions!$B$4)*Assumptions!$B$6</x:f>
        <x:v>1636363.6363636365</x:v>
      </x:c>
      <x:c r="Q27" s="11">
        <x:f>L27*Assumptions!$B$6</x:f>
        <x:v>36000000</x:v>
      </x:c>
      <x:c r="R27" s="10" t="inlineStr">
        <x:is>
          <x:t xml:space="preserve"/>
        </x:is>
      </x:c>
    </x:row>
    <x:row r="28" ht="72" customHeight="1">
      <x:c r="A28" s="10" t="inlineStr">
        <x:is>
          <x:t xml:space="preserve">Data</x:t>
        </x:is>
      </x:c>
      <x:c r="B28" s="10" t="inlineStr">
        <x:is>
          <x:t xml:space="preserve">Data</x:t>
        </x:is>
      </x:c>
      <x:c r="C28" s="10" t="inlineStr">
        <x:is>
          <x:t xml:space="preserve">Data Engineer</x:t>
        </x:is>
      </x:c>
      <x:c r="D28" s="10" t="inlineStr">
        <x:is>
          <x:t xml:space="preserve">Mid</x:t>
        </x:is>
      </x:c>
      <x:c r="E28" s="10" t="inlineStr">
        <x:is>
          <x:t xml:space="preserve">Membangun pipeline data yang reliable dan scalable.</x:t>
        </x:is>
      </x:c>
      <x:c r="F28" s="10" t="inlineStr">
        <x:is>
          <x:t xml:space="preserve">ETL/ELT pipelines; data modeling; orchestration; data quality &amp; lineage.</x:t>
        </x:is>
      </x:c>
      <x:c r="G28" s="10" t="inlineStr">
        <x:is>
          <x:t xml:space="preserve">Python/SQL, data warehousing, orchestration (Airflow), modeling.</x:t>
        </x:is>
      </x:c>
      <x:c r="H28" s="10" t="inlineStr">
        <x:is>
          <x:t xml:space="preserve">Pipeline uptime, freshness SLA, cost efficiency.</x:t>
        </x:is>
      </x:c>
      <x:c r="I28" s="10" t="inlineStr">
        <x:is>
          <x:t xml:space="preserve">Hybrid</x:t>
        </x:is>
      </x:c>
      <x:c r="J28" s="10" t="inlineStr">
        <x:is>
          <x:t xml:space="preserve">Employee</x:t>
        </x:is>
      </x:c>
      <x:c r="K28" s="10" t="inlineStr">
        <x:is>
          <x:t xml:space="preserve"/>
        </x:is>
      </x:c>
      <x:c r="L28" s="11">
        <x:f>Assumptions!$B$2*VLOOKUP(D28,Assumptions!$A$10:$B$18,2,FALSE)*VLOOKUP(B28,Assumptions!$A$22:$B$39,2,FALSE)</x:f>
        <x:v>22500000</x:v>
      </x:c>
      <x:c r="M28" s="11">
        <x:f>L28*(1-Assumptions!$B$3/2)</x:f>
        <x:v>20250000</x:v>
      </x:c>
      <x:c r="N28" s="11">
        <x:f>L28*(1+Assumptions!$B$3/2)</x:f>
        <x:v>24750000.000000004</x:v>
      </x:c>
      <x:c r="O28" s="11">
        <x:f>(L28/Assumptions!$B$4/Assumptions!$B$5)*Assumptions!$B$6</x:f>
        <x:v>204545.45454545456</x:v>
      </x:c>
      <x:c r="P28" s="11">
        <x:f>(L28/Assumptions!$B$4)*Assumptions!$B$6</x:f>
        <x:v>1636363.6363636365</x:v>
      </x:c>
      <x:c r="Q28" s="11">
        <x:f>L28*Assumptions!$B$6</x:f>
        <x:v>36000000</x:v>
      </x:c>
      <x:c r="R28" s="10" t="inlineStr">
        <x:is>
          <x:t xml:space="preserve"/>
        </x:is>
      </x:c>
    </x:row>
    <x:row r="29" ht="72" customHeight="1">
      <x:c r="A29" s="10" t="inlineStr">
        <x:is>
          <x:t xml:space="preserve">Data</x:t>
        </x:is>
      </x:c>
      <x:c r="B29" s="10" t="inlineStr">
        <x:is>
          <x:t xml:space="preserve">Data</x:t>
        </x:is>
      </x:c>
      <x:c r="C29" s="10" t="inlineStr">
        <x:is>
          <x:t xml:space="preserve">Data Scientist</x:t>
        </x:is>
      </x:c>
      <x:c r="D29" s="10" t="inlineStr">
        <x:is>
          <x:t xml:space="preserve">Senior</x:t>
        </x:is>
      </x:c>
      <x:c r="E29" s="10" t="inlineStr">
        <x:is>
          <x:t xml:space="preserve">Mengembangkan model dan analisis lanjutan untuk produk/operasi.</x:t>
        </x:is>
      </x:c>
      <x:c r="F29" s="10" t="inlineStr">
        <x:is>
          <x:t xml:space="preserve">Modeling; experimentation; feature engineering; communicate results.</x:t>
        </x:is>
      </x:c>
      <x:c r="G29" s="10" t="inlineStr">
        <x:is>
          <x:t xml:space="preserve">Statistics, ML basics, Python, experimentation.</x:t>
        </x:is>
      </x:c>
      <x:c r="H29" s="10" t="inlineStr">
        <x:is>
          <x:t xml:space="preserve">Model lift, deployment success, business impact.</x:t>
        </x:is>
      </x:c>
      <x:c r="I29" s="10" t="inlineStr">
        <x:is>
          <x:t xml:space="preserve">Hybrid</x:t>
        </x:is>
      </x:c>
      <x:c r="J29" s="10" t="inlineStr">
        <x:is>
          <x:t xml:space="preserve">Employee</x:t>
        </x:is>
      </x:c>
      <x:c r="K29" s="10" t="inlineStr">
        <x:is>
          <x:t xml:space="preserve"/>
        </x:is>
      </x:c>
      <x:c r="L29" s="11">
        <x:f>Assumptions!$B$2*VLOOKUP(D29,Assumptions!$A$10:$B$18,2,FALSE)*VLOOKUP(B29,Assumptions!$A$22:$B$39,2,FALSE)</x:f>
        <x:v>30375000</x:v>
      </x:c>
      <x:c r="M29" s="11">
        <x:f>L29*(1-Assumptions!$B$3/2)</x:f>
        <x:v>27337500</x:v>
      </x:c>
      <x:c r="N29" s="11">
        <x:f>L29*(1+Assumptions!$B$3/2)</x:f>
        <x:v>33412500.000000004</x:v>
      </x:c>
      <x:c r="O29" s="11">
        <x:f>(L29/Assumptions!$B$4/Assumptions!$B$5)*Assumptions!$B$6</x:f>
        <x:v>276136.36363636365</x:v>
      </x:c>
      <x:c r="P29" s="11">
        <x:f>(L29/Assumptions!$B$4)*Assumptions!$B$6</x:f>
        <x:v>2209090.909090909</x:v>
      </x:c>
      <x:c r="Q29" s="11">
        <x:f>L29*Assumptions!$B$6</x:f>
        <x:v>48600000</x:v>
      </x:c>
      <x:c r="R29" s="10" t="inlineStr">
        <x:is>
          <x:t xml:space="preserve"/>
        </x:is>
      </x:c>
    </x:row>
    <x:row r="30" ht="72" customHeight="1">
      <x:c r="A30" s="10" t="inlineStr">
        <x:is>
          <x:t xml:space="preserve">Data</x:t>
        </x:is>
      </x:c>
      <x:c r="B30" s="10" t="inlineStr">
        <x:is>
          <x:t xml:space="preserve">Data</x:t>
        </x:is>
      </x:c>
      <x:c r="C30" s="10" t="inlineStr">
        <x:is>
          <x:t xml:space="preserve">Machine Learning Engineer</x:t>
        </x:is>
      </x:c>
      <x:c r="D30" s="10" t="inlineStr">
        <x:is>
          <x:t xml:space="preserve">Senior</x:t>
        </x:is>
      </x:c>
      <x:c r="E30" s="10" t="inlineStr">
        <x:is>
          <x:t xml:space="preserve">Membangun dan mengoperasikan sistem ML end-to-end di produksi.</x:t>
        </x:is>
      </x:c>
      <x:c r="F30" s="10" t="inlineStr">
        <x:is>
          <x:t xml:space="preserve">Deploy models; MLOps; monitoring drift; optimize inference.</x:t>
        </x:is>
      </x:c>
      <x:c r="G30" s="10" t="inlineStr">
        <x:is>
          <x:t xml:space="preserve">ML systems, MLOps, Python, containers, monitoring.</x:t>
        </x:is>
      </x:c>
      <x:c r="H30" s="10" t="inlineStr">
        <x:is>
          <x:t xml:space="preserve">Model latency, reliability, model performance over time.</x:t>
        </x:is>
      </x:c>
      <x:c r="I30" s="10" t="inlineStr">
        <x:is>
          <x:t xml:space="preserve">Hybrid</x:t>
        </x:is>
      </x:c>
      <x:c r="J30" s="10" t="inlineStr">
        <x:is>
          <x:t xml:space="preserve">Employee</x:t>
        </x:is>
      </x:c>
      <x:c r="K30" s="10" t="inlineStr">
        <x:is>
          <x:t xml:space="preserve"/>
        </x:is>
      </x:c>
      <x:c r="L30" s="11">
        <x:f>Assumptions!$B$2*VLOOKUP(D30,Assumptions!$A$10:$B$18,2,FALSE)*VLOOKUP(B30,Assumptions!$A$22:$B$39,2,FALSE)</x:f>
        <x:v>30375000</x:v>
      </x:c>
      <x:c r="M30" s="11">
        <x:f>L30*(1-Assumptions!$B$3/2)</x:f>
        <x:v>27337500</x:v>
      </x:c>
      <x:c r="N30" s="11">
        <x:f>L30*(1+Assumptions!$B$3/2)</x:f>
        <x:v>33412500.000000004</x:v>
      </x:c>
      <x:c r="O30" s="11">
        <x:f>(L30/Assumptions!$B$4/Assumptions!$B$5)*Assumptions!$B$6</x:f>
        <x:v>276136.36363636365</x:v>
      </x:c>
      <x:c r="P30" s="11">
        <x:f>(L30/Assumptions!$B$4)*Assumptions!$B$6</x:f>
        <x:v>2209090.909090909</x:v>
      </x:c>
      <x:c r="Q30" s="11">
        <x:f>L30*Assumptions!$B$6</x:f>
        <x:v>48600000</x:v>
      </x:c>
      <x:c r="R30" s="10" t="inlineStr">
        <x:is>
          <x:t xml:space="preserve"/>
        </x:is>
      </x:c>
    </x:row>
    <x:row r="31" ht="72" customHeight="1">
      <x:c r="A31" s="10" t="inlineStr">
        <x:is>
          <x:t xml:space="preserve">Data</x:t>
        </x:is>
      </x:c>
      <x:c r="B31" s="10" t="inlineStr">
        <x:is>
          <x:t xml:space="preserve">Data</x:t>
        </x:is>
      </x:c>
      <x:c r="C31" s="10" t="inlineStr">
        <x:is>
          <x:t xml:space="preserve">Head of Data</x:t>
        </x:is>
      </x:c>
      <x:c r="D31" s="10" t="inlineStr">
        <x:is>
          <x:t xml:space="preserve">Head</x:t>
        </x:is>
      </x:c>
      <x:c r="E31" s="10" t="inlineStr">
        <x:is>
          <x:t xml:space="preserve">Memimpin fungsi data (analytics, engineering, science) untuk menjadikan data sebagai keunggulan.</x:t>
        </x:is>
      </x:c>
      <x:c r="F31" s="10" t="inlineStr">
        <x:is>
          <x:t xml:space="preserve">Data strategy; org design; governance; prioritize initiatives; stakeholder alignment.</x:t>
        </x:is>
      </x:c>
      <x:c r="G31" s="10" t="inlineStr">
        <x:is>
          <x:t xml:space="preserve">Leadership, data strategy, governance, communication.</x:t>
        </x:is>
      </x:c>
      <x:c r="H31" s="10" t="inlineStr">
        <x:is>
          <x:t xml:space="preserve">Data maturity, stakeholder satisfaction, delivered outcomes.</x:t>
        </x:is>
      </x:c>
      <x:c r="I31" s="10" t="inlineStr">
        <x:is>
          <x:t xml:space="preserve">Hybrid</x:t>
        </x:is>
      </x:c>
      <x:c r="J31" s="10" t="inlineStr">
        <x:is>
          <x:t xml:space="preserve">Employee</x:t>
        </x:is>
      </x:c>
      <x:c r="K31" s="10" t="inlineStr">
        <x:is>
          <x:t xml:space="preserve"/>
        </x:is>
      </x:c>
      <x:c r="L31" s="11">
        <x:f>Assumptions!$B$2*VLOOKUP(D31,Assumptions!$A$10:$B$18,2,FALSE)*VLOOKUP(B31,Assumptions!$A$22:$B$39,2,FALSE)</x:f>
        <x:v>49500000</x:v>
      </x:c>
      <x:c r="M31" s="11">
        <x:f>L31*(1-Assumptions!$B$3/2)</x:f>
        <x:v>44550000</x:v>
      </x:c>
      <x:c r="N31" s="11">
        <x:f>L31*(1+Assumptions!$B$3/2)</x:f>
        <x:v>54450000.00000001</x:v>
      </x:c>
      <x:c r="O31" s="11">
        <x:f>(L31/Assumptions!$B$4/Assumptions!$B$5)*Assumptions!$B$6</x:f>
        <x:v>450000</x:v>
      </x:c>
      <x:c r="P31" s="11">
        <x:f>(L31/Assumptions!$B$4)*Assumptions!$B$6</x:f>
        <x:v>3600000</x:v>
      </x:c>
      <x:c r="Q31" s="11">
        <x:f>L31*Assumptions!$B$6</x:f>
        <x:v>79200000</x:v>
      </x:c>
      <x:c r="R31" s="10" t="inlineStr">
        <x:is>
          <x:t xml:space="preserve"/>
        </x:is>
      </x:c>
    </x:row>
    <x:row r="32" ht="72" customHeight="1">
      <x:c r="A32" s="10" t="inlineStr">
        <x:is>
          <x:t xml:space="preserve">Engineering</x:t>
        </x:is>
      </x:c>
      <x:c r="B32" s="10" t="inlineStr">
        <x:is>
          <x:t xml:space="preserve">DevOps/SRE</x:t>
        </x:is>
      </x:c>
      <x:c r="C32" s="10" t="inlineStr">
        <x:is>
          <x:t xml:space="preserve">DevOps Engineer</x:t>
        </x:is>
      </x:c>
      <x:c r="D32" s="10" t="inlineStr">
        <x:is>
          <x:t xml:space="preserve">Mid</x:t>
        </x:is>
      </x:c>
      <x:c r="E32" s="10" t="inlineStr">
        <x:is>
          <x:t xml:space="preserve">Membangun CI/CD dan automasi infrastruktur untuk mempercepat delivery.</x:t>
        </x:is>
      </x:c>
      <x:c r="F32" s="10" t="inlineStr">
        <x:is>
          <x:t xml:space="preserve">CI/CD pipelines; infra-as-code; environment management; cost optimization.</x:t>
        </x:is>
      </x:c>
      <x:c r="G32" s="10" t="inlineStr">
        <x:is>
          <x:t xml:space="preserve">Cloud, CI/CD, IaC (Terraform), scripting.</x:t>
        </x:is>
      </x:c>
      <x:c r="H32" s="10" t="inlineStr">
        <x:is>
          <x:t xml:space="preserve">Deployment frequency, lead time, infra cost.</x:t>
        </x:is>
      </x:c>
      <x:c r="I32" s="10" t="inlineStr">
        <x:is>
          <x:t xml:space="preserve">Hybrid</x:t>
        </x:is>
      </x:c>
      <x:c r="J32" s="10" t="inlineStr">
        <x:is>
          <x:t xml:space="preserve">Employee</x:t>
        </x:is>
      </x:c>
      <x:c r="K32" s="10" t="inlineStr">
        <x:is>
          <x:t xml:space="preserve"/>
        </x:is>
      </x:c>
      <x:c r="L32" s="11">
        <x:f>Assumptions!$B$2*VLOOKUP(D32,Assumptions!$A$10:$B$18,2,FALSE)*VLOOKUP(B32,Assumptions!$A$22:$B$39,2,FALSE)</x:f>
        <x:v>24300000</x:v>
      </x:c>
      <x:c r="M32" s="11">
        <x:f>L32*(1-Assumptions!$B$3/2)</x:f>
        <x:v>21870000</x:v>
      </x:c>
      <x:c r="N32" s="11">
        <x:f>L32*(1+Assumptions!$B$3/2)</x:f>
        <x:v>26730000.000000004</x:v>
      </x:c>
      <x:c r="O32" s="11">
        <x:f>(L32/Assumptions!$B$4/Assumptions!$B$5)*Assumptions!$B$6</x:f>
        <x:v>220909.09090909094</x:v>
      </x:c>
      <x:c r="P32" s="11">
        <x:f>(L32/Assumptions!$B$4)*Assumptions!$B$6</x:f>
        <x:v>1767272.7272727275</x:v>
      </x:c>
      <x:c r="Q32" s="11">
        <x:f>L32*Assumptions!$B$6</x:f>
        <x:v>38880000</x:v>
      </x:c>
      <x:c r="R32" s="10" t="inlineStr">
        <x:is>
          <x:t xml:space="preserve"/>
        </x:is>
      </x:c>
    </x:row>
    <x:row r="33" ht="72" customHeight="1">
      <x:c r="A33" s="10" t="inlineStr">
        <x:is>
          <x:t xml:space="preserve">Engineering</x:t>
        </x:is>
      </x:c>
      <x:c r="B33" s="10" t="inlineStr">
        <x:is>
          <x:t xml:space="preserve">DevOps/SRE</x:t>
        </x:is>
      </x:c>
      <x:c r="C33" s="10" t="inlineStr">
        <x:is>
          <x:t xml:space="preserve">Site Reliability Engineer (SRE)</x:t>
        </x:is>
      </x:c>
      <x:c r="D33" s="10" t="inlineStr">
        <x:is>
          <x:t xml:space="preserve">Senior</x:t>
        </x:is>
      </x:c>
      <x:c r="E33" s="10" t="inlineStr">
        <x:is>
          <x:t xml:space="preserve">Menjaga reliability sistem dengan observability dan praktik SRE.</x:t>
        </x:is>
      </x:c>
      <x:c r="F33" s="10" t="inlineStr">
        <x:is>
          <x:t xml:space="preserve">SLO/SLI; incident response; capacity planning; chaos &amp; reliability improvements.</x:t>
        </x:is>
      </x:c>
      <x:c r="G33" s="10" t="inlineStr">
        <x:is>
          <x:t xml:space="preserve">Linux, monitoring, distributed systems, incident mgmt.</x:t>
        </x:is>
      </x:c>
      <x:c r="H33" s="10" t="inlineStr">
        <x:is>
          <x:t xml:space="preserve">SLA/SLO, MTTR, incident count.</x:t>
        </x:is>
      </x:c>
      <x:c r="I33" s="10" t="inlineStr">
        <x:is>
          <x:t xml:space="preserve">Hybrid</x:t>
        </x:is>
      </x:c>
      <x:c r="J33" s="10" t="inlineStr">
        <x:is>
          <x:t xml:space="preserve">Employee</x:t>
        </x:is>
      </x:c>
      <x:c r="K33" s="10" t="inlineStr">
        <x:is>
          <x:t xml:space="preserve"/>
        </x:is>
      </x:c>
      <x:c r="L33" s="11">
        <x:f>Assumptions!$B$2*VLOOKUP(D33,Assumptions!$A$10:$B$18,2,FALSE)*VLOOKUP(B33,Assumptions!$A$22:$B$39,2,FALSE)</x:f>
        <x:v>32805000.000000004</x:v>
      </x:c>
      <x:c r="M33" s="11">
        <x:f>L33*(1-Assumptions!$B$3/2)</x:f>
        <x:v>29524500.000000004</x:v>
      </x:c>
      <x:c r="N33" s="11">
        <x:f>L33*(1+Assumptions!$B$3/2)</x:f>
        <x:v>36085500.00000001</x:v>
      </x:c>
      <x:c r="O33" s="11">
        <x:f>(L33/Assumptions!$B$4/Assumptions!$B$5)*Assumptions!$B$6</x:f>
        <x:v>298227.27272727276</x:v>
      </x:c>
      <x:c r="P33" s="11">
        <x:f>(L33/Assumptions!$B$4)*Assumptions!$B$6</x:f>
        <x:v>2385818.181818182</x:v>
      </x:c>
      <x:c r="Q33" s="11">
        <x:f>L33*Assumptions!$B$6</x:f>
        <x:v>52488000.00000001</x:v>
      </x:c>
      <x:c r="R33" s="10" t="inlineStr">
        <x:is>
          <x:t xml:space="preserve"/>
        </x:is>
      </x:c>
    </x:row>
    <x:row r="34" ht="72" customHeight="1">
      <x:c r="A34" s="10" t="inlineStr">
        <x:is>
          <x:t xml:space="preserve">Engineering</x:t>
        </x:is>
      </x:c>
      <x:c r="B34" s="10" t="inlineStr">
        <x:is>
          <x:t xml:space="preserve">DevOps/SRE</x:t>
        </x:is>
      </x:c>
      <x:c r="C34" s="10" t="inlineStr">
        <x:is>
          <x:t xml:space="preserve">Cloud/Platform Engineer</x:t>
        </x:is>
      </x:c>
      <x:c r="D34" s="10" t="inlineStr">
        <x:is>
          <x:t xml:space="preserve">Senior</x:t>
        </x:is>
      </x:c>
      <x:c r="E34" s="10" t="inlineStr">
        <x:is>
          <x:t xml:space="preserve">Membangun platform internal agar tim dapat deploy dan scale dengan mudah.</x:t>
        </x:is>
      </x:c>
      <x:c r="F34" s="10" t="inlineStr">
        <x:is>
          <x:t xml:space="preserve">Platform tooling; security baselines; self-service; governance.</x:t>
        </x:is>
      </x:c>
      <x:c r="G34" s="10" t="inlineStr">
        <x:is>
          <x:t xml:space="preserve">Cloud, platform engineering, security, automation.</x:t>
        </x:is>
      </x:c>
      <x:c r="H34" s="10" t="inlineStr">
        <x:is>
          <x:t xml:space="preserve">Platform adoption, time-to-provision, compliance.</x:t>
        </x:is>
      </x:c>
      <x:c r="I34" s="10" t="inlineStr">
        <x:is>
          <x:t xml:space="preserve">Hybrid</x:t>
        </x:is>
      </x:c>
      <x:c r="J34" s="10" t="inlineStr">
        <x:is>
          <x:t xml:space="preserve">Employee</x:t>
        </x:is>
      </x:c>
      <x:c r="K34" s="10" t="inlineStr">
        <x:is>
          <x:t xml:space="preserve"/>
        </x:is>
      </x:c>
      <x:c r="L34" s="11">
        <x:f>Assumptions!$B$2*VLOOKUP(D34,Assumptions!$A$10:$B$18,2,FALSE)*VLOOKUP(B34,Assumptions!$A$22:$B$39,2,FALSE)</x:f>
        <x:v>32805000.000000004</x:v>
      </x:c>
      <x:c r="M34" s="11">
        <x:f>L34*(1-Assumptions!$B$3/2)</x:f>
        <x:v>29524500.000000004</x:v>
      </x:c>
      <x:c r="N34" s="11">
        <x:f>L34*(1+Assumptions!$B$3/2)</x:f>
        <x:v>36085500.00000001</x:v>
      </x:c>
      <x:c r="O34" s="11">
        <x:f>(L34/Assumptions!$B$4/Assumptions!$B$5)*Assumptions!$B$6</x:f>
        <x:v>298227.27272727276</x:v>
      </x:c>
      <x:c r="P34" s="11">
        <x:f>(L34/Assumptions!$B$4)*Assumptions!$B$6</x:f>
        <x:v>2385818.181818182</x:v>
      </x:c>
      <x:c r="Q34" s="11">
        <x:f>L34*Assumptions!$B$6</x:f>
        <x:v>52488000.00000001</x:v>
      </x:c>
      <x:c r="R34" s="10" t="inlineStr">
        <x:is>
          <x:t xml:space="preserve"/>
        </x:is>
      </x:c>
    </x:row>
    <x:row r="35" ht="72" customHeight="1">
      <x:c r="A35" s="10" t="inlineStr">
        <x:is>
          <x:t xml:space="preserve">Security</x:t>
        </x:is>
      </x:c>
      <x:c r="B35" s="10" t="inlineStr">
        <x:is>
          <x:t xml:space="preserve">Security</x:t>
        </x:is>
      </x:c>
      <x:c r="C35" s="10" t="inlineStr">
        <x:is>
          <x:t xml:space="preserve">Application Security Engineer</x:t>
        </x:is>
      </x:c>
      <x:c r="D35" s="10" t="inlineStr">
        <x:is>
          <x:t xml:space="preserve">Senior</x:t>
        </x:is>
      </x:c>
      <x:c r="E35" s="10" t="inlineStr">
        <x:is>
          <x:t xml:space="preserve">Meningkatkan keamanan aplikasi melalui review, tooling, dan edukasi.</x:t>
        </x:is>
      </x:c>
      <x:c r="F35" s="10" t="inlineStr">
        <x:is>
          <x:t xml:space="preserve">Threat modeling; SAST/DAST; secure SDLC; pen-test coordination.</x:t>
        </x:is>
      </x:c>
      <x:c r="G35" s="10" t="inlineStr">
        <x:is>
          <x:t xml:space="preserve">AppSec, OWASP, code review, tooling.</x:t>
        </x:is>
      </x:c>
      <x:c r="H35" s="10" t="inlineStr">
        <x:is>
          <x:t xml:space="preserve">Vuln remediation time, security findings trend.</x:t>
        </x:is>
      </x:c>
      <x:c r="I35" s="10" t="inlineStr">
        <x:is>
          <x:t xml:space="preserve">Hybrid</x:t>
        </x:is>
      </x:c>
      <x:c r="J35" s="10" t="inlineStr">
        <x:is>
          <x:t xml:space="preserve">Employee</x:t>
        </x:is>
      </x:c>
      <x:c r="K35" s="10" t="inlineStr">
        <x:is>
          <x:t xml:space="preserve"/>
        </x:is>
      </x:c>
      <x:c r="L35" s="11">
        <x:f>Assumptions!$B$2*VLOOKUP(D35,Assumptions!$A$10:$B$18,2,FALSE)*VLOOKUP(B35,Assumptions!$A$22:$B$39,2,FALSE)</x:f>
        <x:v>34020000</x:v>
      </x:c>
      <x:c r="M35" s="11">
        <x:f>L35*(1-Assumptions!$B$3/2)</x:f>
        <x:v>30618000</x:v>
      </x:c>
      <x:c r="N35" s="11">
        <x:f>L35*(1+Assumptions!$B$3/2)</x:f>
        <x:v>37422000</x:v>
      </x:c>
      <x:c r="O35" s="11">
        <x:f>(L35/Assumptions!$B$4/Assumptions!$B$5)*Assumptions!$B$6</x:f>
        <x:v>309272.7272727273</x:v>
      </x:c>
      <x:c r="P35" s="11">
        <x:f>(L35/Assumptions!$B$4)*Assumptions!$B$6</x:f>
        <x:v>2474181.8181818184</x:v>
      </x:c>
      <x:c r="Q35" s="11">
        <x:f>L35*Assumptions!$B$6</x:f>
        <x:v>54432000</x:v>
      </x:c>
      <x:c r="R35" s="10" t="inlineStr">
        <x:is>
          <x:t xml:space="preserve"/>
        </x:is>
      </x:c>
    </x:row>
    <x:row r="36" ht="72" customHeight="1">
      <x:c r="A36" s="10" t="inlineStr">
        <x:is>
          <x:t xml:space="preserve">Security</x:t>
        </x:is>
      </x:c>
      <x:c r="B36" s="10" t="inlineStr">
        <x:is>
          <x:t xml:space="preserve">Security</x:t>
        </x:is>
      </x:c>
      <x:c r="C36" s="10" t="inlineStr">
        <x:is>
          <x:t xml:space="preserve">Security Engineer (Infrastructure)</x:t>
        </x:is>
      </x:c>
      <x:c r="D36" s="10" t="inlineStr">
        <x:is>
          <x:t xml:space="preserve">Senior</x:t>
        </x:is>
      </x:c>
      <x:c r="E36" s="10" t="inlineStr">
        <x:is>
          <x:t xml:space="preserve">Mengamankan infrastruktur cloud dan identitas.</x:t>
        </x:is>
      </x:c>
      <x:c r="F36" s="10" t="inlineStr">
        <x:is>
          <x:t xml:space="preserve">IAM; network security; hardening; monitoring &amp; response.</x:t>
        </x:is>
      </x:c>
      <x:c r="G36" s="10" t="inlineStr">
        <x:is>
          <x:t xml:space="preserve">IAM, network security, cloud security, SIEM basics.</x:t>
        </x:is>
      </x:c>
      <x:c r="H36" s="10" t="inlineStr">
        <x:is>
          <x:t xml:space="preserve">Security incidents, compliance, MTTR security.</x:t>
        </x:is>
      </x:c>
      <x:c r="I36" s="10" t="inlineStr">
        <x:is>
          <x:t xml:space="preserve">Hybrid</x:t>
        </x:is>
      </x:c>
      <x:c r="J36" s="10" t="inlineStr">
        <x:is>
          <x:t xml:space="preserve">Employee</x:t>
        </x:is>
      </x:c>
      <x:c r="K36" s="10" t="inlineStr">
        <x:is>
          <x:t xml:space="preserve"/>
        </x:is>
      </x:c>
      <x:c r="L36" s="11">
        <x:f>Assumptions!$B$2*VLOOKUP(D36,Assumptions!$A$10:$B$18,2,FALSE)*VLOOKUP(B36,Assumptions!$A$22:$B$39,2,FALSE)</x:f>
        <x:v>34020000</x:v>
      </x:c>
      <x:c r="M36" s="11">
        <x:f>L36*(1-Assumptions!$B$3/2)</x:f>
        <x:v>30618000</x:v>
      </x:c>
      <x:c r="N36" s="11">
        <x:f>L36*(1+Assumptions!$B$3/2)</x:f>
        <x:v>37422000</x:v>
      </x:c>
      <x:c r="O36" s="11">
        <x:f>(L36/Assumptions!$B$4/Assumptions!$B$5)*Assumptions!$B$6</x:f>
        <x:v>309272.7272727273</x:v>
      </x:c>
      <x:c r="P36" s="11">
        <x:f>(L36/Assumptions!$B$4)*Assumptions!$B$6</x:f>
        <x:v>2474181.8181818184</x:v>
      </x:c>
      <x:c r="Q36" s="11">
        <x:f>L36*Assumptions!$B$6</x:f>
        <x:v>54432000</x:v>
      </x:c>
      <x:c r="R36" s="10" t="inlineStr">
        <x:is>
          <x:t xml:space="preserve"/>
        </x:is>
      </x:c>
    </x:row>
    <x:row r="37" ht="72" customHeight="1">
      <x:c r="A37" s="10" t="inlineStr">
        <x:is>
          <x:t xml:space="preserve">Security</x:t>
        </x:is>
      </x:c>
      <x:c r="B37" s="10" t="inlineStr">
        <x:is>
          <x:t xml:space="preserve">Security</x:t>
        </x:is>
      </x:c>
      <x:c r="C37" s="10" t="inlineStr">
        <x:is>
          <x:t xml:space="preserve">SOC Analyst</x:t>
        </x:is>
      </x:c>
      <x:c r="D37" s="10" t="inlineStr">
        <x:is>
          <x:t xml:space="preserve">Mid</x:t>
        </x:is>
      </x:c>
      <x:c r="E37" s="10" t="inlineStr">
        <x:is>
          <x:t xml:space="preserve">Memantau dan merespons alert keamanan dan insiden.</x:t>
        </x:is>
      </x:c>
      <x:c r="F37" s="10" t="inlineStr">
        <x:is>
          <x:t xml:space="preserve">Triage alerts; investigate; escalate; document playbooks.</x:t>
        </x:is>
      </x:c>
      <x:c r="G37" s="10" t="inlineStr">
        <x:is>
          <x:t xml:space="preserve">SIEM, incident handling, log analysis.</x:t>
        </x:is>
      </x:c>
      <x:c r="H37" s="10" t="inlineStr">
        <x:is>
          <x:t xml:space="preserve">Alert response time, false positive rate.</x:t>
        </x:is>
      </x:c>
      <x:c r="I37" s="10" t="inlineStr">
        <x:is>
          <x:t xml:space="preserve">Hybrid</x:t>
        </x:is>
      </x:c>
      <x:c r="J37" s="10" t="inlineStr">
        <x:is>
          <x:t xml:space="preserve">Employee</x:t>
        </x:is>
      </x:c>
      <x:c r="K37" s="10" t="inlineStr">
        <x:is>
          <x:t xml:space="preserve"/>
        </x:is>
      </x:c>
      <x:c r="L37" s="11">
        <x:f>Assumptions!$B$2*VLOOKUP(D37,Assumptions!$A$10:$B$18,2,FALSE)*VLOOKUP(B37,Assumptions!$A$22:$B$39,2,FALSE)</x:f>
        <x:v>25200000</x:v>
      </x:c>
      <x:c r="M37" s="11">
        <x:f>L37*(1-Assumptions!$B$3/2)</x:f>
        <x:v>22680000</x:v>
      </x:c>
      <x:c r="N37" s="11">
        <x:f>L37*(1+Assumptions!$B$3/2)</x:f>
        <x:v>27720000.000000004</x:v>
      </x:c>
      <x:c r="O37" s="11">
        <x:f>(L37/Assumptions!$B$4/Assumptions!$B$5)*Assumptions!$B$6</x:f>
        <x:v>229090.9090909091</x:v>
      </x:c>
      <x:c r="P37" s="11">
        <x:f>(L37/Assumptions!$B$4)*Assumptions!$B$6</x:f>
        <x:v>1832727.2727272727</x:v>
      </x:c>
      <x:c r="Q37" s="11">
        <x:f>L37*Assumptions!$B$6</x:f>
        <x:v>40320000</x:v>
      </x:c>
      <x:c r="R37" s="10" t="inlineStr">
        <x:is>
          <x:t xml:space="preserve"/>
        </x:is>
      </x:c>
    </x:row>
    <x:row r="38" ht="72" customHeight="1">
      <x:c r="A38" s="10" t="inlineStr">
        <x:is>
          <x:t xml:space="preserve">IT &amp; Workplace</x:t>
        </x:is>
      </x:c>
      <x:c r="B38" s="10" t="inlineStr">
        <x:is>
          <x:t xml:space="preserve">IT</x:t>
        </x:is>
      </x:c>
      <x:c r="C38" s="10" t="inlineStr">
        <x:is>
          <x:t xml:space="preserve">IT Support Specialist</x:t>
        </x:is>
      </x:c>
      <x:c r="D38" s="10" t="inlineStr">
        <x:is>
          <x:t xml:space="preserve">Junior</x:t>
        </x:is>
      </x:c>
      <x:c r="E38" s="10" t="inlineStr">
        <x:is>
          <x:t xml:space="preserve">Memberikan dukungan TI harian untuk karyawan dan perangkat.</x:t>
        </x:is>
      </x:c>
      <x:c r="F38" s="10" t="inlineStr">
        <x:is>
          <x:t xml:space="preserve">Ticket handling; device setup; troubleshooting; asset inventory.</x:t>
        </x:is>
      </x:c>
      <x:c r="G38" s="10" t="inlineStr">
        <x:is>
          <x:t xml:space="preserve">IT support, Windows/macOS, networking basics.</x:t>
        </x:is>
      </x:c>
      <x:c r="H38" s="10" t="inlineStr">
        <x:is>
          <x:t xml:space="preserve">Ticket resolution time, CSAT.</x:t>
        </x:is>
      </x:c>
      <x:c r="I38" s="10" t="inlineStr">
        <x:is>
          <x:t xml:space="preserve">Hybrid</x:t>
        </x:is>
      </x:c>
      <x:c r="J38" s="10" t="inlineStr">
        <x:is>
          <x:t xml:space="preserve">Employee</x:t>
        </x:is>
      </x:c>
      <x:c r="K38" s="10" t="inlineStr">
        <x:is>
          <x:t xml:space="preserve"/>
        </x:is>
      </x:c>
      <x:c r="L38" s="11">
        <x:f>Assumptions!$B$2*VLOOKUP(D38,Assumptions!$A$10:$B$18,2,FALSE)*VLOOKUP(B38,Assumptions!$A$22:$B$39,2,FALSE)</x:f>
        <x:v>11970000</x:v>
      </x:c>
      <x:c r="M38" s="11">
        <x:f>L38*(1-Assumptions!$B$3/2)</x:f>
        <x:v>10773000</x:v>
      </x:c>
      <x:c r="N38" s="11">
        <x:f>L38*(1+Assumptions!$B$3/2)</x:f>
        <x:v>13167000.000000002</x:v>
      </x:c>
      <x:c r="O38" s="11">
        <x:f>(L38/Assumptions!$B$4/Assumptions!$B$5)*Assumptions!$B$6</x:f>
        <x:v>108818.18181818182</x:v>
      </x:c>
      <x:c r="P38" s="11">
        <x:f>(L38/Assumptions!$B$4)*Assumptions!$B$6</x:f>
        <x:v>870545.4545454546</x:v>
      </x:c>
      <x:c r="Q38" s="11">
        <x:f>L38*Assumptions!$B$6</x:f>
        <x:v>19152000</x:v>
      </x:c>
      <x:c r="R38" s="10" t="inlineStr">
        <x:is>
          <x:t xml:space="preserve"/>
        </x:is>
      </x:c>
    </x:row>
    <x:row r="39" ht="72" customHeight="1">
      <x:c r="A39" s="10" t="inlineStr">
        <x:is>
          <x:t xml:space="preserve">IT &amp; Workplace</x:t>
        </x:is>
      </x:c>
      <x:c r="B39" s="10" t="inlineStr">
        <x:is>
          <x:t xml:space="preserve">IT</x:t>
        </x:is>
      </x:c>
      <x:c r="C39" s="10" t="inlineStr">
        <x:is>
          <x:t xml:space="preserve">System Administrator</x:t>
        </x:is>
      </x:c>
      <x:c r="D39" s="10" t="inlineStr">
        <x:is>
          <x:t xml:space="preserve">Mid</x:t>
        </x:is>
      </x:c>
      <x:c r="E39" s="10" t="inlineStr">
        <x:is>
          <x:t xml:space="preserve">Mengelola sistem internal (email, SSO, endpoints) dan kebijakan IT.</x:t>
        </x:is>
      </x:c>
      <x:c r="F39" s="10" t="inlineStr">
        <x:is>
          <x:t xml:space="preserve">User/admin mgmt; MDM; backups; tooling maintenance; security basics.</x:t>
        </x:is>
      </x:c>
      <x:c r="G39" s="10" t="inlineStr">
        <x:is>
          <x:t xml:space="preserve">Sysadmin, SSO, MDM, scripting.</x:t>
        </x:is>
      </x:c>
      <x:c r="H39" s="10" t="inlineStr">
        <x:is>
          <x:t xml:space="preserve">Uptime internal tools, incident reduction.</x:t>
        </x:is>
      </x:c>
      <x:c r="I39" s="10" t="inlineStr">
        <x:is>
          <x:t xml:space="preserve">Hybrid</x:t>
        </x:is>
      </x:c>
      <x:c r="J39" s="10" t="inlineStr">
        <x:is>
          <x:t xml:space="preserve">Employee</x:t>
        </x:is>
      </x:c>
      <x:c r="K39" s="10" t="inlineStr">
        <x:is>
          <x:t xml:space="preserve"/>
        </x:is>
      </x:c>
      <x:c r="L39" s="11">
        <x:f>Assumptions!$B$2*VLOOKUP(D39,Assumptions!$A$10:$B$18,2,FALSE)*VLOOKUP(B39,Assumptions!$A$22:$B$39,2,FALSE)</x:f>
        <x:v>17100000</x:v>
      </x:c>
      <x:c r="M39" s="11">
        <x:f>L39*(1-Assumptions!$B$3/2)</x:f>
        <x:v>15390000</x:v>
      </x:c>
      <x:c r="N39" s="11">
        <x:f>L39*(1+Assumptions!$B$3/2)</x:f>
        <x:v>18810000</x:v>
      </x:c>
      <x:c r="O39" s="11">
        <x:f>(L39/Assumptions!$B$4/Assumptions!$B$5)*Assumptions!$B$6</x:f>
        <x:v>155454.54545454547</x:v>
      </x:c>
      <x:c r="P39" s="11">
        <x:f>(L39/Assumptions!$B$4)*Assumptions!$B$6</x:f>
        <x:v>1243636.3636363638</x:v>
      </x:c>
      <x:c r="Q39" s="11">
        <x:f>L39*Assumptions!$B$6</x:f>
        <x:v>27360000</x:v>
      </x:c>
      <x:c r="R39" s="10" t="inlineStr">
        <x:is>
          <x:t xml:space="preserve"/>
        </x:is>
      </x:c>
    </x:row>
    <x:row r="40" ht="72" customHeight="1">
      <x:c r="A40" s="10" t="inlineStr">
        <x:is>
          <x:t xml:space="preserve">Sales</x:t>
        </x:is>
      </x:c>
      <x:c r="B40" s="10" t="inlineStr">
        <x:is>
          <x:t xml:space="preserve">Sales</x:t>
        </x:is>
      </x:c>
      <x:c r="C40" s="10" t="inlineStr">
        <x:is>
          <x:t xml:space="preserve">Sales Development Representative (SDR)</x:t>
        </x:is>
      </x:c>
      <x:c r="D40" s="10" t="inlineStr">
        <x:is>
          <x:t xml:space="preserve">Junior</x:t>
        </x:is>
      </x:c>
      <x:c r="E40" s="10" t="inlineStr">
        <x:is>
          <x:t xml:space="preserve">Mencari dan mengkualifikasi prospek untuk pipeline penjualan.</x:t>
        </x:is>
      </x:c>
      <x:c r="F40" s="10" t="inlineStr">
        <x:is>
          <x:t xml:space="preserve">Outbound/inbound qualification; schedule demos; CRM hygiene.</x:t>
        </x:is>
      </x:c>
      <x:c r="G40" s="10" t="inlineStr">
        <x:is>
          <x:t xml:space="preserve">Communication, CRM, prospecting, resilience.</x:t>
        </x:is>
      </x:c>
      <x:c r="H40" s="10" t="inlineStr">
        <x:is>
          <x:t xml:space="preserve">Meetings booked, SQLs, conversion rate.</x:t>
        </x:is>
      </x:c>
      <x:c r="I40" s="10" t="inlineStr">
        <x:is>
          <x:t xml:space="preserve">Hybrid</x:t>
        </x:is>
      </x:c>
      <x:c r="J40" s="10" t="inlineStr">
        <x:is>
          <x:t xml:space="preserve">Employee</x:t>
        </x:is>
      </x:c>
      <x:c r="K40" s="10" t="inlineStr">
        <x:is>
          <x:t xml:space="preserve"/>
        </x:is>
      </x:c>
      <x:c r="L40" s="11">
        <x:f>Assumptions!$B$2*VLOOKUP(D40,Assumptions!$A$10:$B$18,2,FALSE)*VLOOKUP(B40,Assumptions!$A$22:$B$39,2,FALSE)</x:f>
        <x:v>13860000.000000002</x:v>
      </x:c>
      <x:c r="M40" s="11">
        <x:f>L40*(1-Assumptions!$B$3/2)</x:f>
        <x:v>12474000.000000002</x:v>
      </x:c>
      <x:c r="N40" s="11">
        <x:f>L40*(1+Assumptions!$B$3/2)</x:f>
        <x:v>15246000.000000004</x:v>
      </x:c>
      <x:c r="O40" s="11">
        <x:f>(L40/Assumptions!$B$4/Assumptions!$B$5)*Assumptions!$B$6</x:f>
        <x:v>126000.00000000003</x:v>
      </x:c>
      <x:c r="P40" s="11">
        <x:f>(L40/Assumptions!$B$4)*Assumptions!$B$6</x:f>
        <x:v>1008000.0000000002</x:v>
      </x:c>
      <x:c r="Q40" s="11">
        <x:f>L40*Assumptions!$B$6</x:f>
        <x:v>22176000.000000004</x:v>
      </x:c>
      <x:c r="R40" s="10" t="inlineStr">
        <x:is>
          <x:t xml:space="preserve"/>
        </x:is>
      </x:c>
    </x:row>
    <x:row r="41" ht="72" customHeight="1">
      <x:c r="A41" s="10" t="inlineStr">
        <x:is>
          <x:t xml:space="preserve">Sales</x:t>
        </x:is>
      </x:c>
      <x:c r="B41" s="10" t="inlineStr">
        <x:is>
          <x:t xml:space="preserve">Sales</x:t>
        </x:is>
      </x:c>
      <x:c r="C41" s="10" t="inlineStr">
        <x:is>
          <x:t xml:space="preserve">Account Executive (AE)</x:t>
        </x:is>
      </x:c>
      <x:c r="D41" s="10" t="inlineStr">
        <x:is>
          <x:t xml:space="preserve">Mid</x:t>
        </x:is>
      </x:c>
      <x:c r="E41" s="10" t="inlineStr">
        <x:is>
          <x:t xml:space="preserve">Menutup penjualan end-to-end dari demo sampai kontrak.</x:t>
        </x:is>
      </x:c>
      <x:c r="F41" s="10" t="inlineStr">
        <x:is>
          <x:t xml:space="preserve">Discovery; proposal; negotiation; forecasting; stakeholder mgmt.</x:t>
        </x:is>
      </x:c>
      <x:c r="G41" s="10" t="inlineStr">
        <x:is>
          <x:t xml:space="preserve">Consultative selling, negotiation, CRM, product knowledge.</x:t>
        </x:is>
      </x:c>
      <x:c r="H41" s="10" t="inlineStr">
        <x:is>
          <x:t xml:space="preserve">Quota attainment, win rate, sales cycle.</x:t>
        </x:is>
      </x:c>
      <x:c r="I41" s="10" t="inlineStr">
        <x:is>
          <x:t xml:space="preserve">Hybrid</x:t>
        </x:is>
      </x:c>
      <x:c r="J41" s="10" t="inlineStr">
        <x:is>
          <x:t xml:space="preserve">Employee</x:t>
        </x:is>
      </x:c>
      <x:c r="K41" s="10" t="inlineStr">
        <x:is>
          <x:t xml:space="preserve"/>
        </x:is>
      </x:c>
      <x:c r="L41" s="11">
        <x:f>Assumptions!$B$2*VLOOKUP(D41,Assumptions!$A$10:$B$18,2,FALSE)*VLOOKUP(B41,Assumptions!$A$22:$B$39,2,FALSE)</x:f>
        <x:v>19800000</x:v>
      </x:c>
      <x:c r="M41" s="11">
        <x:f>L41*(1-Assumptions!$B$3/2)</x:f>
        <x:v>17820000</x:v>
      </x:c>
      <x:c r="N41" s="11">
        <x:f>L41*(1+Assumptions!$B$3/2)</x:f>
        <x:v>21780000</x:v>
      </x:c>
      <x:c r="O41" s="11">
        <x:f>(L41/Assumptions!$B$4/Assumptions!$B$5)*Assumptions!$B$6</x:f>
        <x:v>180000</x:v>
      </x:c>
      <x:c r="P41" s="11">
        <x:f>(L41/Assumptions!$B$4)*Assumptions!$B$6</x:f>
        <x:v>1440000</x:v>
      </x:c>
      <x:c r="Q41" s="11">
        <x:f>L41*Assumptions!$B$6</x:f>
        <x:v>31680000</x:v>
      </x:c>
      <x:c r="R41" s="10" t="inlineStr">
        <x:is>
          <x:t xml:space="preserve"/>
        </x:is>
      </x:c>
    </x:row>
    <x:row r="42" ht="72" customHeight="1">
      <x:c r="A42" s="10" t="inlineStr">
        <x:is>
          <x:t xml:space="preserve">Sales</x:t>
        </x:is>
      </x:c>
      <x:c r="B42" s="10" t="inlineStr">
        <x:is>
          <x:t xml:space="preserve">Sales</x:t>
        </x:is>
      </x:c>
      <x:c r="C42" s="10" t="inlineStr">
        <x:is>
          <x:t xml:space="preserve">Sales Engineer / Solutions Engineer</x:t>
        </x:is>
      </x:c>
      <x:c r="D42" s="10" t="inlineStr">
        <x:is>
          <x:t xml:space="preserve">Senior</x:t>
        </x:is>
      </x:c>
      <x:c r="E42" s="10" t="inlineStr">
        <x:is>
          <x:t xml:space="preserve">Mendukung pre-sales teknis: demo, solusi, dan integrasi.</x:t>
        </x:is>
      </x:c>
      <x:c r="F42" s="10" t="inlineStr">
        <x:is>
          <x:t xml:space="preserve">Technical discovery; solution design; POC; security questionnaires.</x:t>
        </x:is>
      </x:c>
      <x:c r="G42" s="10" t="inlineStr">
        <x:is>
          <x:t xml:space="preserve">Technical communication, APIs, architecture, troubleshooting.</x:t>
        </x:is>
      </x:c>
      <x:c r="H42" s="10" t="inlineStr">
        <x:is>
          <x:t xml:space="preserve">POC success rate, deal support satisfaction.</x:t>
        </x:is>
      </x:c>
      <x:c r="I42" s="10" t="inlineStr">
        <x:is>
          <x:t xml:space="preserve">Hybrid</x:t>
        </x:is>
      </x:c>
      <x:c r="J42" s="10" t="inlineStr">
        <x:is>
          <x:t xml:space="preserve">Employee</x:t>
        </x:is>
      </x:c>
      <x:c r="K42" s="10" t="inlineStr">
        <x:is>
          <x:t xml:space="preserve"/>
        </x:is>
      </x:c>
      <x:c r="L42" s="11">
        <x:f>Assumptions!$B$2*VLOOKUP(D42,Assumptions!$A$10:$B$18,2,FALSE)*VLOOKUP(B42,Assumptions!$A$22:$B$39,2,FALSE)</x:f>
        <x:v>26730000.000000004</x:v>
      </x:c>
      <x:c r="M42" s="11">
        <x:f>L42*(1-Assumptions!$B$3/2)</x:f>
        <x:v>24057000.000000004</x:v>
      </x:c>
      <x:c r="N42" s="11">
        <x:f>L42*(1+Assumptions!$B$3/2)</x:f>
        <x:v>29403000.000000007</x:v>
      </x:c>
      <x:c r="O42" s="11">
        <x:f>(L42/Assumptions!$B$4/Assumptions!$B$5)*Assumptions!$B$6</x:f>
        <x:v>243000.00000000006</x:v>
      </x:c>
      <x:c r="P42" s="11">
        <x:f>(L42/Assumptions!$B$4)*Assumptions!$B$6</x:f>
        <x:v>1944000.0000000005</x:v>
      </x:c>
      <x:c r="Q42" s="11">
        <x:f>L42*Assumptions!$B$6</x:f>
        <x:v>42768000.00000001</x:v>
      </x:c>
      <x:c r="R42" s="10" t="inlineStr">
        <x:is>
          <x:t xml:space="preserve"/>
        </x:is>
      </x:c>
    </x:row>
    <x:row r="43" ht="72" customHeight="1">
      <x:c r="A43" s="10" t="inlineStr">
        <x:is>
          <x:t xml:space="preserve">Sales</x:t>
        </x:is>
      </x:c>
      <x:c r="B43" s="10" t="inlineStr">
        <x:is>
          <x:t xml:space="preserve">Sales</x:t>
        </x:is>
      </x:c>
      <x:c r="C43" s="10" t="inlineStr">
        <x:is>
          <x:t xml:space="preserve">Sales Manager</x:t>
        </x:is>
      </x:c>
      <x:c r="D43" s="10" t="inlineStr">
        <x:is>
          <x:t xml:space="preserve">Manager</x:t>
        </x:is>
      </x:c>
      <x:c r="E43" s="10" t="inlineStr">
        <x:is>
          <x:t xml:space="preserve">Memimpin tim sales untuk mencapai target revenue dan proses.</x:t>
        </x:is>
      </x:c>
      <x:c r="F43" s="10" t="inlineStr">
        <x:is>
          <x:t xml:space="preserve">Coaching; pipeline mgmt; hiring; territory planning; forecasting.</x:t>
        </x:is>
      </x:c>
      <x:c r="G43" s="10" t="inlineStr">
        <x:is>
          <x:t xml:space="preserve">Leadership, sales operations, analytics.</x:t>
        </x:is>
      </x:c>
      <x:c r="H43" s="10" t="inlineStr">
        <x:is>
          <x:t xml:space="preserve">Team quota, pipeline coverage, forecast accuracy.</x:t>
        </x:is>
      </x:c>
      <x:c r="I43" s="10" t="inlineStr">
        <x:is>
          <x:t xml:space="preserve">Hybrid</x:t>
        </x:is>
      </x:c>
      <x:c r="J43" s="10" t="inlineStr">
        <x:is>
          <x:t xml:space="preserve">Employee</x:t>
        </x:is>
      </x:c>
      <x:c r="K43" s="10" t="inlineStr">
        <x:is>
          <x:t xml:space="preserve"/>
        </x:is>
      </x:c>
      <x:c r="L43" s="11">
        <x:f>Assumptions!$B$2*VLOOKUP(D43,Assumptions!$A$10:$B$18,2,FALSE)*VLOOKUP(B43,Assumptions!$A$22:$B$39,2,FALSE)</x:f>
        <x:v>35640000</x:v>
      </x:c>
      <x:c r="M43" s="11">
        <x:f>L43*(1-Assumptions!$B$3/2)</x:f>
        <x:v>32076000</x:v>
      </x:c>
      <x:c r="N43" s="11">
        <x:f>L43*(1+Assumptions!$B$3/2)</x:f>
        <x:v>39204000</x:v>
      </x:c>
      <x:c r="O43" s="11">
        <x:f>(L43/Assumptions!$B$4/Assumptions!$B$5)*Assumptions!$B$6</x:f>
        <x:v>324000</x:v>
      </x:c>
      <x:c r="P43" s="11">
        <x:f>(L43/Assumptions!$B$4)*Assumptions!$B$6</x:f>
        <x:v>2592000</x:v>
      </x:c>
      <x:c r="Q43" s="11">
        <x:f>L43*Assumptions!$B$6</x:f>
        <x:v>57024000</x:v>
      </x:c>
      <x:c r="R43" s="10" t="inlineStr">
        <x:is>
          <x:t xml:space="preserve"/>
        </x:is>
      </x:c>
    </x:row>
    <x:row r="44" ht="72" customHeight="1">
      <x:c r="A44" s="10" t="inlineStr">
        <x:is>
          <x:t xml:space="preserve">Marketing</x:t>
        </x:is>
      </x:c>
      <x:c r="B44" s="10" t="inlineStr">
        <x:is>
          <x:t xml:space="preserve">Marketing</x:t>
        </x:is>
      </x:c>
      <x:c r="C44" s="10" t="inlineStr">
        <x:is>
          <x:t xml:space="preserve">Growth/Performance Marketer</x:t>
        </x:is>
      </x:c>
      <x:c r="D44" s="10" t="inlineStr">
        <x:is>
          <x:t xml:space="preserve">Mid</x:t>
        </x:is>
      </x:c>
      <x:c r="E44" s="10" t="inlineStr">
        <x:is>
          <x:t xml:space="preserve">Mengelola channel acquisition berbayar dan optimasi funnel.</x:t>
        </x:is>
      </x:c>
      <x:c r="F44" s="10" t="inlineStr">
        <x:is>
          <x:t xml:space="preserve">Campaign planning; creatives testing; attribution; landing page iteration.</x:t>
        </x:is>
      </x:c>
      <x:c r="G44" s="10" t="inlineStr">
        <x:is>
          <x:t xml:space="preserve">Performance marketing, analytics, experimentation.</x:t>
        </x:is>
      </x:c>
      <x:c r="H44" s="10" t="inlineStr">
        <x:is>
          <x:t xml:space="preserve">CAC, ROAS, conversion rate.</x:t>
        </x:is>
      </x:c>
      <x:c r="I44" s="10" t="inlineStr">
        <x:is>
          <x:t xml:space="preserve">Hybrid</x:t>
        </x:is>
      </x:c>
      <x:c r="J44" s="10" t="inlineStr">
        <x:is>
          <x:t xml:space="preserve">Employee</x:t>
        </x:is>
      </x:c>
      <x:c r="K44" s="10" t="inlineStr">
        <x:is>
          <x:t xml:space="preserve"/>
        </x:is>
      </x:c>
      <x:c r="L44" s="11">
        <x:f>Assumptions!$B$2*VLOOKUP(D44,Assumptions!$A$10:$B$18,2,FALSE)*VLOOKUP(B44,Assumptions!$A$22:$B$39,2,FALSE)</x:f>
        <x:v>18000000</x:v>
      </x:c>
      <x:c r="M44" s="11">
        <x:f>L44*(1-Assumptions!$B$3/2)</x:f>
        <x:v>16200000</x:v>
      </x:c>
      <x:c r="N44" s="11">
        <x:f>L44*(1+Assumptions!$B$3/2)</x:f>
        <x:v>19800000</x:v>
      </x:c>
      <x:c r="O44" s="11">
        <x:f>(L44/Assumptions!$B$4/Assumptions!$B$5)*Assumptions!$B$6</x:f>
        <x:v>163636.36363636365</x:v>
      </x:c>
      <x:c r="P44" s="11">
        <x:f>(L44/Assumptions!$B$4)*Assumptions!$B$6</x:f>
        <x:v>1309090.9090909092</x:v>
      </x:c>
      <x:c r="Q44" s="11">
        <x:f>L44*Assumptions!$B$6</x:f>
        <x:v>28800000</x:v>
      </x:c>
      <x:c r="R44" s="10" t="inlineStr">
        <x:is>
          <x:t xml:space="preserve"/>
        </x:is>
      </x:c>
    </x:row>
    <x:row r="45" ht="72" customHeight="1">
      <x:c r="A45" s="10" t="inlineStr">
        <x:is>
          <x:t xml:space="preserve">Marketing</x:t>
        </x:is>
      </x:c>
      <x:c r="B45" s="10" t="inlineStr">
        <x:is>
          <x:t xml:space="preserve">Marketing</x:t>
        </x:is>
      </x:c>
      <x:c r="C45" s="10" t="inlineStr">
        <x:is>
          <x:t xml:space="preserve">Content Marketer</x:t>
        </x:is>
      </x:c>
      <x:c r="D45" s="10" t="inlineStr">
        <x:is>
          <x:t xml:space="preserve">Mid</x:t>
        </x:is>
      </x:c>
      <x:c r="E45" s="10" t="inlineStr">
        <x:is>
          <x:t xml:space="preserve">Membuat konten untuk meningkatkan awareness dan demand.</x:t>
        </x:is>
      </x:c>
      <x:c r="F45" s="10" t="inlineStr">
        <x:is>
          <x:t xml:space="preserve">Content calendar; write &amp; edit; SEO basics; distribute content.</x:t>
        </x:is>
      </x:c>
      <x:c r="G45" s="10" t="inlineStr">
        <x:is>
          <x:t xml:space="preserve">Copywriting, SEO, storytelling.</x:t>
        </x:is>
      </x:c>
      <x:c r="H45" s="10" t="inlineStr">
        <x:is>
          <x:t xml:space="preserve">Organic traffic, leads, engagement.</x:t>
        </x:is>
      </x:c>
      <x:c r="I45" s="10" t="inlineStr">
        <x:is>
          <x:t xml:space="preserve">Hybrid</x:t>
        </x:is>
      </x:c>
      <x:c r="J45" s="10" t="inlineStr">
        <x:is>
          <x:t xml:space="preserve">Employee</x:t>
        </x:is>
      </x:c>
      <x:c r="K45" s="10" t="inlineStr">
        <x:is>
          <x:t xml:space="preserve"/>
        </x:is>
      </x:c>
      <x:c r="L45" s="11">
        <x:f>Assumptions!$B$2*VLOOKUP(D45,Assumptions!$A$10:$B$18,2,FALSE)*VLOOKUP(B45,Assumptions!$A$22:$B$39,2,FALSE)</x:f>
        <x:v>18000000</x:v>
      </x:c>
      <x:c r="M45" s="11">
        <x:f>L45*(1-Assumptions!$B$3/2)</x:f>
        <x:v>16200000</x:v>
      </x:c>
      <x:c r="N45" s="11">
        <x:f>L45*(1+Assumptions!$B$3/2)</x:f>
        <x:v>19800000</x:v>
      </x:c>
      <x:c r="O45" s="11">
        <x:f>(L45/Assumptions!$B$4/Assumptions!$B$5)*Assumptions!$B$6</x:f>
        <x:v>163636.36363636365</x:v>
      </x:c>
      <x:c r="P45" s="11">
        <x:f>(L45/Assumptions!$B$4)*Assumptions!$B$6</x:f>
        <x:v>1309090.9090909092</x:v>
      </x:c>
      <x:c r="Q45" s="11">
        <x:f>L45*Assumptions!$B$6</x:f>
        <x:v>28800000</x:v>
      </x:c>
      <x:c r="R45" s="10" t="inlineStr">
        <x:is>
          <x:t xml:space="preserve"/>
        </x:is>
      </x:c>
    </x:row>
    <x:row r="46" ht="72" customHeight="1">
      <x:c r="A46" s="10" t="inlineStr">
        <x:is>
          <x:t xml:space="preserve">Marketing</x:t>
        </x:is>
      </x:c>
      <x:c r="B46" s="10" t="inlineStr">
        <x:is>
          <x:t xml:space="preserve">Marketing</x:t>
        </x:is>
      </x:c>
      <x:c r="C46" s="10" t="inlineStr">
        <x:is>
          <x:t xml:space="preserve">Product Marketing Manager (PMM)</x:t>
        </x:is>
      </x:c>
      <x:c r="D46" s="10" t="inlineStr">
        <x:is>
          <x:t xml:space="preserve">Senior</x:t>
        </x:is>
      </x:c>
      <x:c r="E46" s="10" t="inlineStr">
        <x:is>
          <x:t xml:space="preserve">Menghubungkan produk dengan pasar melalui positioning dan GTM.</x:t>
        </x:is>
      </x:c>
      <x:c r="F46" s="10" t="inlineStr">
        <x:is>
          <x:t xml:space="preserve">Positioning; messaging; launches; enablement; competitive intel.</x:t>
        </x:is>
      </x:c>
      <x:c r="G46" s="10" t="inlineStr">
        <x:is>
          <x:t xml:space="preserve">GTM, messaging, research, stakeholder mgmt.</x:t>
        </x:is>
      </x:c>
      <x:c r="H46" s="10" t="inlineStr">
        <x:is>
          <x:t xml:space="preserve">Launch success, adoption, sales enablement usage.</x:t>
        </x:is>
      </x:c>
      <x:c r="I46" s="10" t="inlineStr">
        <x:is>
          <x:t xml:space="preserve">Hybrid</x:t>
        </x:is>
      </x:c>
      <x:c r="J46" s="10" t="inlineStr">
        <x:is>
          <x:t xml:space="preserve">Employee</x:t>
        </x:is>
      </x:c>
      <x:c r="K46" s="10" t="inlineStr">
        <x:is>
          <x:t xml:space="preserve"/>
        </x:is>
      </x:c>
      <x:c r="L46" s="11">
        <x:f>Assumptions!$B$2*VLOOKUP(D46,Assumptions!$A$10:$B$18,2,FALSE)*VLOOKUP(B46,Assumptions!$A$22:$B$39,2,FALSE)</x:f>
        <x:v>24300000</x:v>
      </x:c>
      <x:c r="M46" s="11">
        <x:f>L46*(1-Assumptions!$B$3/2)</x:f>
        <x:v>21870000</x:v>
      </x:c>
      <x:c r="N46" s="11">
        <x:f>L46*(1+Assumptions!$B$3/2)</x:f>
        <x:v>26730000.000000004</x:v>
      </x:c>
      <x:c r="O46" s="11">
        <x:f>(L46/Assumptions!$B$4/Assumptions!$B$5)*Assumptions!$B$6</x:f>
        <x:v>220909.09090909094</x:v>
      </x:c>
      <x:c r="P46" s="11">
        <x:f>(L46/Assumptions!$B$4)*Assumptions!$B$6</x:f>
        <x:v>1767272.7272727275</x:v>
      </x:c>
      <x:c r="Q46" s="11">
        <x:f>L46*Assumptions!$B$6</x:f>
        <x:v>38880000</x:v>
      </x:c>
      <x:c r="R46" s="10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dadd58d98064e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32" customWidth="1"/>
    <x:col min="4" max="4" width="10" customWidth="1"/>
    <x:col min="5" max="5" width="38" customWidth="1"/>
    <x:col min="6" max="6" width="45" customWidth="1"/>
    <x:col min="7" max="7" width="30" customWidth="1"/>
    <x:col min="8" max="8" width="28" customWidth="1"/>
    <x:col min="9" max="9" width="12" customWidth="1"/>
    <x:col min="10" max="10" width="14" customWidth="1"/>
    <x:col min="11" max="11" width="12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20" customWidth="1"/>
    <x:col min="18" max="18" width="20" customWidth="1"/>
  </x:cols>
  <x:sheetData>
    <x:row r="1" ht="28" customHeight="1">
      <x:c r="A1" s="9" t="inlineStr">
        <x:is>
          <x:t xml:space="preserve">Department</x:t>
        </x:is>
      </x:c>
      <x:c r="B1" s="9" t="inlineStr">
        <x:is>
          <x:t xml:space="preserve">Role Family</x:t>
        </x:is>
      </x:c>
      <x:c r="C1" s="9" t="inlineStr">
        <x:is>
          <x:t xml:space="preserve">Designation</x:t>
        </x:is>
      </x:c>
      <x:c r="D1" s="9" t="inlineStr">
        <x:is>
          <x:t xml:space="preserve">Level</x:t>
        </x:is>
      </x:c>
      <x:c r="E1" s="9" t="inlineStr">
        <x:is>
          <x:t xml:space="preserve">Job Summary</x:t>
        </x:is>
      </x:c>
      <x:c r="F1" s="9" t="inlineStr">
        <x:is>
          <x:t xml:space="preserve">Key Responsibilities</x:t>
        </x:is>
      </x:c>
      <x:c r="G1" s="9" t="inlineStr">
        <x:is>
          <x:t xml:space="preserve">Core Skills</x:t>
        </x:is>
      </x:c>
      <x:c r="H1" s="9" t="inlineStr">
        <x:is>
          <x:t xml:space="preserve">Typical KPIs</x:t>
        </x:is>
      </x:c>
      <x:c r="I1" s="9" t="inlineStr">
        <x:is>
          <x:t xml:space="preserve">Work Model</x:t>
        </x:is>
      </x:c>
      <x:c r="J1" s="9" t="inlineStr">
        <x:is>
          <x:t xml:space="preserve">Employment Type</x:t>
        </x:is>
      </x:c>
      <x:c r="K1" s="9" t="inlineStr">
        <x:is>
          <x:t xml:space="preserve">Career Band</x:t>
        </x:is>
      </x:c>
      <x:c r="L1" s="9" t="inlineStr">
        <x:is>
          <x:t xml:space="preserve">Salary Mid (IDR/mo)</x:t>
        </x:is>
      </x:c>
      <x:c r="M1" s="9" t="inlineStr">
        <x:is>
          <x:t xml:space="preserve">Salary Low (IDR/mo)</x:t>
        </x:is>
      </x:c>
      <x:c r="N1" s="9" t="inlineStr">
        <x:is>
          <x:t xml:space="preserve">Salary High (IDR/mo)</x:t>
        </x:is>
      </x:c>
      <x:c r="O1" s="9" t="inlineStr">
        <x:is>
          <x:t xml:space="preserve">Ratecard Hourly (IDR/hr)</x:t>
        </x:is>
      </x:c>
      <x:c r="P1" s="9" t="inlineStr">
        <x:is>
          <x:t xml:space="preserve">Ratecard Daily (IDR/day)</x:t>
        </x:is>
      </x:c>
      <x:c r="Q1" s="9" t="inlineStr">
        <x:is>
          <x:t xml:space="preserve">Ratecard Monthly (IDR/mo)</x:t>
        </x:is>
      </x:c>
      <x:c r="R1" s="9" t="inlineStr">
        <x:is>
          <x:t xml:space="preserve">Notes</x:t>
        </x:is>
      </x:c>
    </x:row>
    <x:row r="2" ht="72" customHeight="1">
      <x:c r="A2" s="10" t="inlineStr">
        <x:is>
          <x:t xml:space="preserve">Customer Success</x:t>
        </x:is>
      </x:c>
      <x:c r="B2" s="10" t="inlineStr">
        <x:is>
          <x:t xml:space="preserve">Customer Success</x:t>
        </x:is>
      </x:c>
      <x:c r="C2" s="10" t="inlineStr">
        <x:is>
          <x:t xml:space="preserve">Customer Success Manager (CSM)</x:t>
        </x:is>
      </x:c>
      <x:c r="D2" s="10" t="inlineStr">
        <x:is>
          <x:t xml:space="preserve">Mid</x:t>
        </x:is>
      </x:c>
      <x:c r="E2" s="10" t="inlineStr">
        <x:is>
          <x:t xml:space="preserve">Menjaga sukses pelanggan pasca-sales untuk meningkatkan retention dan expansion.</x:t>
        </x:is>
      </x:c>
      <x:c r="F2" s="10" t="inlineStr">
        <x:is>
          <x:t xml:space="preserve">Onboarding; QBR; usage reviews; renewals; escalation management.</x:t>
        </x:is>
      </x:c>
      <x:c r="G2" s="10" t="inlineStr">
        <x:is>
          <x:t xml:space="preserve">Customer communication, product knowledge, data literacy.</x:t>
        </x:is>
      </x:c>
      <x:c r="H2" s="10" t="inlineStr">
        <x:is>
          <x:t xml:space="preserve">Net revenue retention, churn, CSAT.</x:t>
        </x:is>
      </x:c>
      <x:c r="I2" s="10" t="inlineStr">
        <x:is>
          <x:t xml:space="preserve">Hybrid</x:t>
        </x:is>
      </x:c>
      <x:c r="J2" s="10" t="inlineStr">
        <x:is>
          <x:t xml:space="preserve">Employee</x:t>
        </x:is>
      </x:c>
      <x:c r="K2" s="10" t="inlineStr">
        <x:is>
          <x:t xml:space="preserve"/>
        </x:is>
      </x:c>
      <x:c r="L2" s="11">
        <x:f>Assumptions!$B$2*VLOOKUP(D2,Assumptions!$A$10:$B$18,2,FALSE)*VLOOKUP(B2,Assumptions!$A$22:$B$39,2,FALSE)</x:f>
        <x:v>18000000</x:v>
      </x:c>
      <x:c r="M2" s="11">
        <x:f>L2*(1-Assumptions!$B$3/2)</x:f>
        <x:v>16200000</x:v>
      </x:c>
      <x:c r="N2" s="11">
        <x:f>L2*(1+Assumptions!$B$3/2)</x:f>
        <x:v>19800000</x:v>
      </x:c>
      <x:c r="O2" s="11">
        <x:f>(L2/Assumptions!$B$4/Assumptions!$B$5)*Assumptions!$B$6</x:f>
        <x:v>163636.36363636365</x:v>
      </x:c>
      <x:c r="P2" s="11">
        <x:f>(L2/Assumptions!$B$4)*Assumptions!$B$6</x:f>
        <x:v>1309090.9090909092</x:v>
      </x:c>
      <x:c r="Q2" s="11">
        <x:f>L2*Assumptions!$B$6</x:f>
        <x:v>28800000</x:v>
      </x:c>
      <x:c r="R2" s="10" t="inlineStr">
        <x:is>
          <x:t xml:space="preserve"/>
        </x:is>
      </x:c>
    </x:row>
    <x:row r="3" ht="72" customHeight="1">
      <x:c r="A3" s="10" t="inlineStr">
        <x:is>
          <x:t xml:space="preserve">Customer Success</x:t>
        </x:is>
      </x:c>
      <x:c r="B3" s="10" t="inlineStr">
        <x:is>
          <x:t xml:space="preserve">Customer Success</x:t>
        </x:is>
      </x:c>
      <x:c r="C3" s="10" t="inlineStr">
        <x:is>
          <x:t xml:space="preserve">Implementation Consultant</x:t>
        </x:is>
      </x:c>
      <x:c r="D3" s="10" t="inlineStr">
        <x:is>
          <x:t xml:space="preserve">Mid</x:t>
        </x:is>
      </x:c>
      <x:c r="E3" s="10" t="inlineStr">
        <x:is>
          <x:t xml:space="preserve">Membantu implementasi teknis agar pelanggan go-live sukses.</x:t>
        </x:is>
      </x:c>
      <x:c r="F3" s="10" t="inlineStr">
        <x:is>
          <x:t xml:space="preserve">Project plan; data migration; configuration; training; go-live support.</x:t>
        </x:is>
      </x:c>
      <x:c r="G3" s="10" t="inlineStr">
        <x:is>
          <x:t xml:space="preserve">Project mgmt, integrations, communication.</x:t>
        </x:is>
      </x:c>
      <x:c r="H3" s="10" t="inlineStr">
        <x:is>
          <x:t xml:space="preserve">Time-to-go-live, implementation success rate.</x:t>
        </x:is>
      </x:c>
      <x:c r="I3" s="10" t="inlineStr">
        <x:is>
          <x:t xml:space="preserve">Hybrid</x:t>
        </x:is>
      </x:c>
      <x:c r="J3" s="10" t="inlineStr">
        <x:is>
          <x:t xml:space="preserve">Employee</x:t>
        </x:is>
      </x:c>
      <x:c r="K3" s="10" t="inlineStr">
        <x:is>
          <x:t xml:space="preserve"/>
        </x:is>
      </x:c>
      <x:c r="L3" s="11">
        <x:f>Assumptions!$B$2*VLOOKUP(D3,Assumptions!$A$10:$B$18,2,FALSE)*VLOOKUP(B3,Assumptions!$A$22:$B$39,2,FALSE)</x:f>
        <x:v>18000000</x:v>
      </x:c>
      <x:c r="M3" s="11">
        <x:f>L3*(1-Assumptions!$B$3/2)</x:f>
        <x:v>16200000</x:v>
      </x:c>
      <x:c r="N3" s="11">
        <x:f>L3*(1+Assumptions!$B$3/2)</x:f>
        <x:v>19800000</x:v>
      </x:c>
      <x:c r="O3" s="11">
        <x:f>(L3/Assumptions!$B$4/Assumptions!$B$5)*Assumptions!$B$6</x:f>
        <x:v>163636.36363636365</x:v>
      </x:c>
      <x:c r="P3" s="11">
        <x:f>(L3/Assumptions!$B$4)*Assumptions!$B$6</x:f>
        <x:v>1309090.9090909092</x:v>
      </x:c>
      <x:c r="Q3" s="11">
        <x:f>L3*Assumptions!$B$6</x:f>
        <x:v>28800000</x:v>
      </x:c>
      <x:c r="R3" s="10" t="inlineStr">
        <x:is>
          <x:t xml:space="preserve"/>
        </x:is>
      </x:c>
    </x:row>
    <x:row r="4" ht="72" customHeight="1">
      <x:c r="A4" s="10" t="inlineStr">
        <x:is>
          <x:t xml:space="preserve">Support</x:t>
        </x:is>
      </x:c>
      <x:c r="B4" s="10" t="inlineStr">
        <x:is>
          <x:t xml:space="preserve">Support</x:t>
        </x:is>
      </x:c>
      <x:c r="C4" s="10" t="inlineStr">
        <x:is>
          <x:t xml:space="preserve">Technical Support Engineer</x:t>
        </x:is>
      </x:c>
      <x:c r="D4" s="10" t="inlineStr">
        <x:is>
          <x:t xml:space="preserve">Mid</x:t>
        </x:is>
      </x:c>
      <x:c r="E4" s="10" t="inlineStr">
        <x:is>
          <x:t xml:space="preserve">Menangani issue teknis pelanggan dan investigasi root cause.</x:t>
        </x:is>
      </x:c>
      <x:c r="F4" s="10" t="inlineStr">
        <x:is>
          <x:t xml:space="preserve">Ticket triage; reproduce issues; coordinate fixes; knowledge base updates.</x:t>
        </x:is>
      </x:c>
      <x:c r="G4" s="10" t="inlineStr">
        <x:is>
          <x:t xml:space="preserve">Troubleshooting, SQL/logs, communication.</x:t>
        </x:is>
      </x:c>
      <x:c r="H4" s="10" t="inlineStr">
        <x:is>
          <x:t xml:space="preserve">First response time, resolution time, CSAT.</x:t>
        </x:is>
      </x:c>
      <x:c r="I4" s="10" t="inlineStr">
        <x:is>
          <x:t xml:space="preserve">Hybrid</x:t>
        </x:is>
      </x:c>
      <x:c r="J4" s="10" t="inlineStr">
        <x:is>
          <x:t xml:space="preserve">Employee</x:t>
        </x:is>
      </x:c>
      <x:c r="K4" s="10" t="inlineStr">
        <x:is>
          <x:t xml:space="preserve"/>
        </x:is>
      </x:c>
      <x:c r="L4" s="11">
        <x:f>Assumptions!$B$2*VLOOKUP(D4,Assumptions!$A$10:$B$18,2,FALSE)*VLOOKUP(B4,Assumptions!$A$22:$B$39,2,FALSE)</x:f>
        <x:v>16200000</x:v>
      </x:c>
      <x:c r="M4" s="11">
        <x:f>L4*(1-Assumptions!$B$3/2)</x:f>
        <x:v>14580000</x:v>
      </x:c>
      <x:c r="N4" s="11">
        <x:f>L4*(1+Assumptions!$B$3/2)</x:f>
        <x:v>17820000</x:v>
      </x:c>
      <x:c r="O4" s="11">
        <x:f>(L4/Assumptions!$B$4/Assumptions!$B$5)*Assumptions!$B$6</x:f>
        <x:v>147272.72727272726</x:v>
      </x:c>
      <x:c r="P4" s="11">
        <x:f>(L4/Assumptions!$B$4)*Assumptions!$B$6</x:f>
        <x:v>1178181.8181818181</x:v>
      </x:c>
      <x:c r="Q4" s="11">
        <x:f>L4*Assumptions!$B$6</x:f>
        <x:v>25920000</x:v>
      </x:c>
      <x:c r="R4" s="10" t="inlineStr">
        <x:is>
          <x:t xml:space="preserve"/>
        </x:is>
      </x:c>
    </x:row>
    <x:row r="5" ht="72" customHeight="1">
      <x:c r="A5" s="10" t="inlineStr">
        <x:is>
          <x:t xml:space="preserve">Support</x:t>
        </x:is>
      </x:c>
      <x:c r="B5" s="10" t="inlineStr">
        <x:is>
          <x:t xml:space="preserve">Support</x:t>
        </x:is>
      </x:c>
      <x:c r="C5" s="10" t="inlineStr">
        <x:is>
          <x:t xml:space="preserve">Support Lead</x:t>
        </x:is>
      </x:c>
      <x:c r="D5" s="10" t="inlineStr">
        <x:is>
          <x:t xml:space="preserve">Lead</x:t>
        </x:is>
      </x:c>
      <x:c r="E5" s="10" t="inlineStr">
        <x:is>
          <x:t xml:space="preserve">Mengelola operasi support dan kualitas layanan.</x:t>
        </x:is>
      </x:c>
      <x:c r="F5" s="10" t="inlineStr">
        <x:is>
          <x:t xml:space="preserve">Queue management; SOP; coaching; reporting; escalation path.</x:t>
        </x:is>
      </x:c>
      <x:c r="G5" s="10" t="inlineStr">
        <x:is>
          <x:t xml:space="preserve">Service ops, leadership, analytics.</x:t>
        </x:is>
      </x:c>
      <x:c r="H5" s="10" t="inlineStr">
        <x:is>
          <x:t xml:space="preserve">SLA compliance, CSAT, backlog size.</x:t>
        </x:is>
      </x:c>
      <x:c r="I5" s="10" t="inlineStr">
        <x:is>
          <x:t xml:space="preserve">Hybrid</x:t>
        </x:is>
      </x:c>
      <x:c r="J5" s="10" t="inlineStr">
        <x:is>
          <x:t xml:space="preserve">Employee</x:t>
        </x:is>
      </x:c>
      <x:c r="K5" s="10" t="inlineStr">
        <x:is>
          <x:t xml:space="preserve"/>
        </x:is>
      </x:c>
      <x:c r="L5" s="11">
        <x:f>Assumptions!$B$2*VLOOKUP(D5,Assumptions!$A$10:$B$18,2,FALSE)*VLOOKUP(B5,Assumptions!$A$22:$B$39,2,FALSE)</x:f>
        <x:v>25920000</x:v>
      </x:c>
      <x:c r="M5" s="11">
        <x:f>L5*(1-Assumptions!$B$3/2)</x:f>
        <x:v>23328000</x:v>
      </x:c>
      <x:c r="N5" s="11">
        <x:f>L5*(1+Assumptions!$B$3/2)</x:f>
        <x:v>28512000.000000004</x:v>
      </x:c>
      <x:c r="O5" s="11">
        <x:f>(L5/Assumptions!$B$4/Assumptions!$B$5)*Assumptions!$B$6</x:f>
        <x:v>235636.36363636365</x:v>
      </x:c>
      <x:c r="P5" s="11">
        <x:f>(L5/Assumptions!$B$4)*Assumptions!$B$6</x:f>
        <x:v>1885090.9090909092</x:v>
      </x:c>
      <x:c r="Q5" s="11">
        <x:f>L5*Assumptions!$B$6</x:f>
        <x:v>41472000</x:v>
      </x:c>
      <x:c r="R5" s="10" t="inlineStr">
        <x:is>
          <x:t xml:space="preserve"/>
        </x:is>
      </x:c>
    </x:row>
    <x:row r="6" ht="72" customHeight="1">
      <x:c r="A6" s="10" t="inlineStr">
        <x:is>
          <x:t xml:space="preserve">Operations</x:t>
        </x:is>
      </x:c>
      <x:c r="B6" s="10" t="inlineStr">
        <x:is>
          <x:t xml:space="preserve">Operations</x:t>
        </x:is>
      </x:c>
      <x:c r="C6" s="10" t="inlineStr">
        <x:is>
          <x:t xml:space="preserve">Business Operations Analyst</x:t>
        </x:is>
      </x:c>
      <x:c r="D6" s="10" t="inlineStr">
        <x:is>
          <x:t xml:space="preserve">Mid</x:t>
        </x:is>
      </x:c>
      <x:c r="E6" s="10" t="inlineStr">
        <x:is>
          <x:t xml:space="preserve">Meningkatkan efisiensi proses bisnis melalui analisis dan inisiatif ops.</x:t>
        </x:is>
      </x:c>
      <x:c r="F6" s="10" t="inlineStr">
        <x:is>
          <x:t xml:space="preserve">Process mapping; KPI tracking; tooling improvements; stakeholder coordination.</x:t>
        </x:is>
      </x:c>
      <x:c r="G6" s="10" t="inlineStr">
        <x:is>
          <x:t xml:space="preserve">Ops analysis, SQL/Sheets, process design.</x:t>
        </x:is>
      </x:c>
      <x:c r="H6" s="10" t="inlineStr">
        <x:is>
          <x:t xml:space="preserve">Cycle time, cost savings, KPI improvements.</x:t>
        </x:is>
      </x:c>
      <x:c r="I6" s="10" t="inlineStr">
        <x:is>
          <x:t xml:space="preserve">Hybrid</x:t>
        </x:is>
      </x:c>
      <x:c r="J6" s="10" t="inlineStr">
        <x:is>
          <x:t xml:space="preserve">Employee</x:t>
        </x:is>
      </x:c>
      <x:c r="K6" s="10" t="inlineStr">
        <x:is>
          <x:t xml:space="preserve"/>
        </x:is>
      </x:c>
      <x:c r="L6" s="11">
        <x:f>Assumptions!$B$2*VLOOKUP(D6,Assumptions!$A$10:$B$18,2,FALSE)*VLOOKUP(B6,Assumptions!$A$22:$B$39,2,FALSE)</x:f>
        <x:v>18000000</x:v>
      </x:c>
      <x:c r="M6" s="11">
        <x:f>L6*(1-Assumptions!$B$3/2)</x:f>
        <x:v>16200000</x:v>
      </x:c>
      <x:c r="N6" s="11">
        <x:f>L6*(1+Assumptions!$B$3/2)</x:f>
        <x:v>19800000</x:v>
      </x:c>
      <x:c r="O6" s="11">
        <x:f>(L6/Assumptions!$B$4/Assumptions!$B$5)*Assumptions!$B$6</x:f>
        <x:v>163636.36363636365</x:v>
      </x:c>
      <x:c r="P6" s="11">
        <x:f>(L6/Assumptions!$B$4)*Assumptions!$B$6</x:f>
        <x:v>1309090.9090909092</x:v>
      </x:c>
      <x:c r="Q6" s="11">
        <x:f>L6*Assumptions!$B$6</x:f>
        <x:v>28800000</x:v>
      </x:c>
      <x:c r="R6" s="10" t="inlineStr">
        <x:is>
          <x:t xml:space="preserve"/>
        </x:is>
      </x:c>
    </x:row>
    <x:row r="7" ht="72" customHeight="1">
      <x:c r="A7" s="10" t="inlineStr">
        <x:is>
          <x:t xml:space="preserve">Operations</x:t>
        </x:is>
      </x:c>
      <x:c r="B7" s="10" t="inlineStr">
        <x:is>
          <x:t xml:space="preserve">Operations</x:t>
        </x:is>
      </x:c>
      <x:c r="C7" s="10" t="inlineStr">
        <x:is>
          <x:t xml:space="preserve">Project/Program Manager</x:t>
        </x:is>
      </x:c>
      <x:c r="D7" s="10" t="inlineStr">
        <x:is>
          <x:t xml:space="preserve">Senior</x:t>
        </x:is>
      </x:c>
      <x:c r="E7" s="10" t="inlineStr">
        <x:is>
          <x:t xml:space="preserve">Mengelola program lintas fungsi untuk mencapai deliverable tepat waktu.</x:t>
        </x:is>
      </x:c>
      <x:c r="F7" s="10" t="inlineStr">
        <x:is>
          <x:t xml:space="preserve">Planning; risk mgmt; status reporting; dependency management.</x:t>
        </x:is>
      </x:c>
      <x:c r="G7" s="10" t="inlineStr">
        <x:is>
          <x:t xml:space="preserve">Program mgmt, communication, stakeholder mgmt.</x:t>
        </x:is>
      </x:c>
      <x:c r="H7" s="10" t="inlineStr">
        <x:is>
          <x:t xml:space="preserve">On-time delivery, risk resolution time.</x:t>
        </x:is>
      </x:c>
      <x:c r="I7" s="10" t="inlineStr">
        <x:is>
          <x:t xml:space="preserve">Hybrid</x:t>
        </x:is>
      </x:c>
      <x:c r="J7" s="10" t="inlineStr">
        <x:is>
          <x:t xml:space="preserve">Employee</x:t>
        </x:is>
      </x:c>
      <x:c r="K7" s="10" t="inlineStr">
        <x:is>
          <x:t xml:space="preserve"/>
        </x:is>
      </x:c>
      <x:c r="L7" s="11">
        <x:f>Assumptions!$B$2*VLOOKUP(D7,Assumptions!$A$10:$B$18,2,FALSE)*VLOOKUP(B7,Assumptions!$A$22:$B$39,2,FALSE)</x:f>
        <x:v>24300000</x:v>
      </x:c>
      <x:c r="M7" s="11">
        <x:f>L7*(1-Assumptions!$B$3/2)</x:f>
        <x:v>21870000</x:v>
      </x:c>
      <x:c r="N7" s="11">
        <x:f>L7*(1+Assumptions!$B$3/2)</x:f>
        <x:v>26730000.000000004</x:v>
      </x:c>
      <x:c r="O7" s="11">
        <x:f>(L7/Assumptions!$B$4/Assumptions!$B$5)*Assumptions!$B$6</x:f>
        <x:v>220909.09090909094</x:v>
      </x:c>
      <x:c r="P7" s="11">
        <x:f>(L7/Assumptions!$B$4)*Assumptions!$B$6</x:f>
        <x:v>1767272.7272727275</x:v>
      </x:c>
      <x:c r="Q7" s="11">
        <x:f>L7*Assumptions!$B$6</x:f>
        <x:v>38880000</x:v>
      </x:c>
      <x:c r="R7" s="10" t="inlineStr">
        <x:is>
          <x:t xml:space="preserve"/>
        </x:is>
      </x:c>
    </x:row>
    <x:row r="8" ht="72" customHeight="1">
      <x:c r="A8" s="10" t="inlineStr">
        <x:is>
          <x:t xml:space="preserve">Finance</x:t>
        </x:is>
      </x:c>
      <x:c r="B8" s="10" t="inlineStr">
        <x:is>
          <x:t xml:space="preserve">Finance</x:t>
        </x:is>
      </x:c>
      <x:c r="C8" s="10" t="inlineStr">
        <x:is>
          <x:t xml:space="preserve">Accountant</x:t>
        </x:is>
      </x:c>
      <x:c r="D8" s="10" t="inlineStr">
        <x:is>
          <x:t xml:space="preserve">Mid</x:t>
        </x:is>
      </x:c>
      <x:c r="E8" s="10" t="inlineStr">
        <x:is>
          <x:t xml:space="preserve">Mengelola pencatatan transaksi dan pelaporan keuangan rutin.</x:t>
        </x:is>
      </x:c>
      <x:c r="F8" s="10" t="inlineStr">
        <x:is>
          <x:t xml:space="preserve">AP/AR; reconciliation; month-end close; tax support.</x:t>
        </x:is>
      </x:c>
      <x:c r="G8" s="10" t="inlineStr">
        <x:is>
          <x:t xml:space="preserve">Accounting, attention to detail, ERP basics.</x:t>
        </x:is>
      </x:c>
      <x:c r="H8" s="10" t="inlineStr">
        <x:is>
          <x:t xml:space="preserve">Close cycle time, error rate.</x:t>
        </x:is>
      </x:c>
      <x:c r="I8" s="10" t="inlineStr">
        <x:is>
          <x:t xml:space="preserve">Hybrid</x:t>
        </x:is>
      </x:c>
      <x:c r="J8" s="10" t="inlineStr">
        <x:is>
          <x:t xml:space="preserve">Employee</x:t>
        </x:is>
      </x:c>
      <x:c r="K8" s="10" t="inlineStr">
        <x:is>
          <x:t xml:space="preserve"/>
        </x:is>
      </x:c>
      <x:c r="L8" s="11">
        <x:f>Assumptions!$B$2*VLOOKUP(D8,Assumptions!$A$10:$B$18,2,FALSE)*VLOOKUP(B8,Assumptions!$A$22:$B$39,2,FALSE)</x:f>
        <x:v>18000000</x:v>
      </x:c>
      <x:c r="M8" s="11">
        <x:f>L8*(1-Assumptions!$B$3/2)</x:f>
        <x:v>16200000</x:v>
      </x:c>
      <x:c r="N8" s="11">
        <x:f>L8*(1+Assumptions!$B$3/2)</x:f>
        <x:v>19800000</x:v>
      </x:c>
      <x:c r="O8" s="11">
        <x:f>(L8/Assumptions!$B$4/Assumptions!$B$5)*Assumptions!$B$6</x:f>
        <x:v>163636.36363636365</x:v>
      </x:c>
      <x:c r="P8" s="11">
        <x:f>(L8/Assumptions!$B$4)*Assumptions!$B$6</x:f>
        <x:v>1309090.9090909092</x:v>
      </x:c>
      <x:c r="Q8" s="11">
        <x:f>L8*Assumptions!$B$6</x:f>
        <x:v>28800000</x:v>
      </x:c>
      <x:c r="R8" s="10" t="inlineStr">
        <x:is>
          <x:t xml:space="preserve"/>
        </x:is>
      </x:c>
    </x:row>
    <x:row r="9" ht="72" customHeight="1">
      <x:c r="A9" s="10" t="inlineStr">
        <x:is>
          <x:t xml:space="preserve">Finance</x:t>
        </x:is>
      </x:c>
      <x:c r="B9" s="10" t="inlineStr">
        <x:is>
          <x:t xml:space="preserve">Finance</x:t>
        </x:is>
      </x:c>
      <x:c r="C9" s="10" t="inlineStr">
        <x:is>
          <x:t xml:space="preserve">FP&amp;A Analyst</x:t>
        </x:is>
      </x:c>
      <x:c r="D9" s="10" t="inlineStr">
        <x:is>
          <x:t xml:space="preserve">Senior</x:t>
        </x:is>
      </x:c>
      <x:c r="E9" s="10" t="inlineStr">
        <x:is>
          <x:t xml:space="preserve">Menyusun analisis performa, forecast, dan rekomendasi finansial.</x:t>
        </x:is>
      </x:c>
      <x:c r="F9" s="10" t="inlineStr">
        <x:is>
          <x:t xml:space="preserve">Budgeting; forecasting; unit economics; management reporting.</x:t>
        </x:is>
      </x:c>
      <x:c r="G9" s="10" t="inlineStr">
        <x:is>
          <x:t xml:space="preserve">Financial modeling, analytics, communication.</x:t>
        </x:is>
      </x:c>
      <x:c r="H9" s="10" t="inlineStr">
        <x:is>
          <x:t xml:space="preserve">Forecast accuracy, insight adoption.</x:t>
        </x:is>
      </x:c>
      <x:c r="I9" s="10" t="inlineStr">
        <x:is>
          <x:t xml:space="preserve">Hybrid</x:t>
        </x:is>
      </x:c>
      <x:c r="J9" s="10" t="inlineStr">
        <x:is>
          <x:t xml:space="preserve">Employee</x:t>
        </x:is>
      </x:c>
      <x:c r="K9" s="10" t="inlineStr">
        <x:is>
          <x:t xml:space="preserve"/>
        </x:is>
      </x:c>
      <x:c r="L9" s="11">
        <x:f>Assumptions!$B$2*VLOOKUP(D9,Assumptions!$A$10:$B$18,2,FALSE)*VLOOKUP(B9,Assumptions!$A$22:$B$39,2,FALSE)</x:f>
        <x:v>24300000</x:v>
      </x:c>
      <x:c r="M9" s="11">
        <x:f>L9*(1-Assumptions!$B$3/2)</x:f>
        <x:v>21870000</x:v>
      </x:c>
      <x:c r="N9" s="11">
        <x:f>L9*(1+Assumptions!$B$3/2)</x:f>
        <x:v>26730000.000000004</x:v>
      </x:c>
      <x:c r="O9" s="11">
        <x:f>(L9/Assumptions!$B$4/Assumptions!$B$5)*Assumptions!$B$6</x:f>
        <x:v>220909.09090909094</x:v>
      </x:c>
      <x:c r="P9" s="11">
        <x:f>(L9/Assumptions!$B$4)*Assumptions!$B$6</x:f>
        <x:v>1767272.7272727275</x:v>
      </x:c>
      <x:c r="Q9" s="11">
        <x:f>L9*Assumptions!$B$6</x:f>
        <x:v>38880000</x:v>
      </x:c>
      <x:c r="R9" s="10" t="inlineStr">
        <x:is>
          <x:t xml:space="preserve"/>
        </x:is>
      </x:c>
    </x:row>
    <x:row r="10" ht="72" customHeight="1">
      <x:c r="A10" s="10" t="inlineStr">
        <x:is>
          <x:t xml:space="preserve">HR / People</x:t>
        </x:is>
      </x:c>
      <x:c r="B10" s="10" t="inlineStr">
        <x:is>
          <x:t xml:space="preserve">HR/People</x:t>
        </x:is>
      </x:c>
      <x:c r="C10" s="10" t="inlineStr">
        <x:is>
          <x:t xml:space="preserve">Talent Acquisition Specialist</x:t>
        </x:is>
      </x:c>
      <x:c r="D10" s="10" t="inlineStr">
        <x:is>
          <x:t xml:space="preserve">Mid</x:t>
        </x:is>
      </x:c>
      <x:c r="E10" s="10" t="inlineStr">
        <x:is>
          <x:t xml:space="preserve">Menjalankan proses rekrutmen end-to-end untuk kebutuhan organisasi.</x:t>
        </x:is>
      </x:c>
      <x:c r="F10" s="10" t="inlineStr">
        <x:is>
          <x:t xml:space="preserve">Sourcing; screening; coordinate interviews; offer management; employer branding support.</x:t>
        </x:is>
      </x:c>
      <x:c r="G10" s="10" t="inlineStr">
        <x:is>
          <x:t xml:space="preserve">Recruiting, communication, stakeholder mgmt.</x:t>
        </x:is>
      </x:c>
      <x:c r="H10" s="10" t="inlineStr">
        <x:is>
          <x:t xml:space="preserve">Time-to-hire, offer acceptance rate.</x:t>
        </x:is>
      </x:c>
      <x:c r="I10" s="10" t="inlineStr">
        <x:is>
          <x:t xml:space="preserve">Hybrid</x:t>
        </x:is>
      </x:c>
      <x:c r="J10" s="10" t="inlineStr">
        <x:is>
          <x:t xml:space="preserve">Employee</x:t>
        </x:is>
      </x:c>
      <x:c r="K10" s="10" t="inlineStr">
        <x:is>
          <x:t xml:space="preserve"/>
        </x:is>
      </x:c>
      <x:c r="L10" s="11">
        <x:f>Assumptions!$B$2*VLOOKUP(D10,Assumptions!$A$10:$B$18,2,FALSE)*VLOOKUP(B10,Assumptions!$A$22:$B$39,2,FALSE)</x:f>
        <x:v>17100000</x:v>
      </x:c>
      <x:c r="M10" s="11">
        <x:f>L10*(1-Assumptions!$B$3/2)</x:f>
        <x:v>15390000</x:v>
      </x:c>
      <x:c r="N10" s="11">
        <x:f>L10*(1+Assumptions!$B$3/2)</x:f>
        <x:v>18810000</x:v>
      </x:c>
      <x:c r="O10" s="11">
        <x:f>(L10/Assumptions!$B$4/Assumptions!$B$5)*Assumptions!$B$6</x:f>
        <x:v>155454.54545454547</x:v>
      </x:c>
      <x:c r="P10" s="11">
        <x:f>(L10/Assumptions!$B$4)*Assumptions!$B$6</x:f>
        <x:v>1243636.3636363638</x:v>
      </x:c>
      <x:c r="Q10" s="11">
        <x:f>L10*Assumptions!$B$6</x:f>
        <x:v>27360000</x:v>
      </x:c>
      <x:c r="R10" s="10" t="inlineStr">
        <x:is>
          <x:t xml:space="preserve"/>
        </x:is>
      </x:c>
    </x:row>
    <x:row r="11" ht="72" customHeight="1">
      <x:c r="A11" s="10" t="inlineStr">
        <x:is>
          <x:t xml:space="preserve">HR / People</x:t>
        </x:is>
      </x:c>
      <x:c r="B11" s="10" t="inlineStr">
        <x:is>
          <x:t xml:space="preserve">HR/People</x:t>
        </x:is>
      </x:c>
      <x:c r="C11" s="10" t="inlineStr">
        <x:is>
          <x:t xml:space="preserve">People Operations Manager</x:t>
        </x:is>
      </x:c>
      <x:c r="D11" s="10" t="inlineStr">
        <x:is>
          <x:t xml:space="preserve">Manager</x:t>
        </x:is>
      </x:c>
      <x:c r="E11" s="10" t="inlineStr">
        <x:is>
          <x:t xml:space="preserve">Mengelola proses HR (onboarding, performance, policy) agar employee experience baik.</x:t>
        </x:is>
      </x:c>
      <x:c r="F11" s="10" t="inlineStr">
        <x:is>
          <x:t xml:space="preserve">HR ops; policy; HRIS; employee relations; compliance basics.</x:t>
        </x:is>
      </x:c>
      <x:c r="G11" s="10" t="inlineStr">
        <x:is>
          <x:t xml:space="preserve">HR ops, leadership, process design.</x:t>
        </x:is>
      </x:c>
      <x:c r="H11" s="10" t="inlineStr">
        <x:is>
          <x:t xml:space="preserve">eNPS, HR SLA, retention.</x:t>
        </x:is>
      </x:c>
      <x:c r="I11" s="10" t="inlineStr">
        <x:is>
          <x:t xml:space="preserve">Hybrid</x:t>
        </x:is>
      </x:c>
      <x:c r="J11" s="10" t="inlineStr">
        <x:is>
          <x:t xml:space="preserve">Employee</x:t>
        </x:is>
      </x:c>
      <x:c r="K11" s="10" t="inlineStr">
        <x:is>
          <x:t xml:space="preserve"/>
        </x:is>
      </x:c>
      <x:c r="L11" s="11">
        <x:f>Assumptions!$B$2*VLOOKUP(D11,Assumptions!$A$10:$B$18,2,FALSE)*VLOOKUP(B11,Assumptions!$A$22:$B$39,2,FALSE)</x:f>
        <x:v>30780000</x:v>
      </x:c>
      <x:c r="M11" s="11">
        <x:f>L11*(1-Assumptions!$B$3/2)</x:f>
        <x:v>27702000</x:v>
      </x:c>
      <x:c r="N11" s="11">
        <x:f>L11*(1+Assumptions!$B$3/2)</x:f>
        <x:v>33858000</x:v>
      </x:c>
      <x:c r="O11" s="11">
        <x:f>(L11/Assumptions!$B$4/Assumptions!$B$5)*Assumptions!$B$6</x:f>
        <x:v>279818.1818181818</x:v>
      </x:c>
      <x:c r="P11" s="11">
        <x:f>(L11/Assumptions!$B$4)*Assumptions!$B$6</x:f>
        <x:v>2238545.4545454546</x:v>
      </x:c>
      <x:c r="Q11" s="11">
        <x:f>L11*Assumptions!$B$6</x:f>
        <x:v>49248000</x:v>
      </x:c>
      <x:c r="R11" s="10" t="inlineStr">
        <x:is>
          <x:t xml:space="preserve"/>
        </x:is>
      </x:c>
    </x:row>
    <x:row r="12" ht="72" customHeight="1">
      <x:c r="A12" s="10" t="inlineStr">
        <x:is>
          <x:t xml:space="preserve">Legal &amp; Compliance</x:t>
        </x:is>
      </x:c>
      <x:c r="B12" s="10" t="inlineStr">
        <x:is>
          <x:t xml:space="preserve">Legal/Compliance</x:t>
        </x:is>
      </x:c>
      <x:c r="C12" s="10" t="inlineStr">
        <x:is>
          <x:t xml:space="preserve">Legal Counsel</x:t>
        </x:is>
      </x:c>
      <x:c r="D12" s="10" t="inlineStr">
        <x:is>
          <x:t xml:space="preserve">Senior</x:t>
        </x:is>
      </x:c>
      <x:c r="E12" s="10" t="inlineStr">
        <x:is>
          <x:t xml:space="preserve">Menangani kontrak, risiko legal, dan support compliance.</x:t>
        </x:is>
      </x:c>
      <x:c r="F12" s="10" t="inlineStr">
        <x:is>
          <x:t xml:space="preserve">Contract review; negotiation support; policy drafting; dispute handling.</x:t>
        </x:is>
      </x:c>
      <x:c r="G12" s="10" t="inlineStr">
        <x:is>
          <x:t xml:space="preserve">Legal drafting, negotiation, risk management.</x:t>
        </x:is>
      </x:c>
      <x:c r="H12" s="10" t="inlineStr">
        <x:is>
          <x:t xml:space="preserve">Contract cycle time, risk incidents.</x:t>
        </x:is>
      </x:c>
      <x:c r="I12" s="10" t="inlineStr">
        <x:is>
          <x:t xml:space="preserve">Hybrid</x:t>
        </x:is>
      </x:c>
      <x:c r="J12" s="10" t="inlineStr">
        <x:is>
          <x:t xml:space="preserve">Employee</x:t>
        </x:is>
      </x:c>
      <x:c r="K12" s="10" t="inlineStr">
        <x:is>
          <x:t xml:space="preserve"/>
        </x:is>
      </x:c>
      <x:c r="L12" s="11">
        <x:f>Assumptions!$B$2*VLOOKUP(D12,Assumptions!$A$10:$B$18,2,FALSE)*VLOOKUP(B12,Assumptions!$A$22:$B$39,2,FALSE)</x:f>
        <x:v>27944999.999999996</x:v>
      </x:c>
      <x:c r="M12" s="11">
        <x:f>L12*(1-Assumptions!$B$3/2)</x:f>
        <x:v>25150499.999999996</x:v>
      </x:c>
      <x:c r="N12" s="11">
        <x:f>L12*(1+Assumptions!$B$3/2)</x:f>
        <x:v>30739500</x:v>
      </x:c>
      <x:c r="O12" s="11">
        <x:f>(L12/Assumptions!$B$4/Assumptions!$B$5)*Assumptions!$B$6</x:f>
        <x:v>254045.4545454545</x:v>
      </x:c>
      <x:c r="P12" s="11">
        <x:f>(L12/Assumptions!$B$4)*Assumptions!$B$6</x:f>
        <x:v>2032363.636363636</x:v>
      </x:c>
      <x:c r="Q12" s="11">
        <x:f>L12*Assumptions!$B$6</x:f>
        <x:v>44712000</x:v>
      </x:c>
      <x:c r="R12" s="10" t="inlineStr">
        <x:is>
          <x:t xml:space="preserve"/>
        </x:is>
      </x:c>
    </x:row>
    <x:row r="13" ht="72" customHeight="1">
      <x:c r="A13" s="10" t="inlineStr">
        <x:is>
          <x:t xml:space="preserve">Legal &amp; Compliance</x:t>
        </x:is>
      </x:c>
      <x:c r="B13" s="10" t="inlineStr">
        <x:is>
          <x:t xml:space="preserve">Legal/Compliance</x:t>
        </x:is>
      </x:c>
      <x:c r="C13" s="10" t="inlineStr">
        <x:is>
          <x:t xml:space="preserve">Compliance Officer</x:t>
        </x:is>
      </x:c>
      <x:c r="D13" s="10" t="inlineStr">
        <x:is>
          <x:t xml:space="preserve">Mid</x:t>
        </x:is>
      </x:c>
      <x:c r="E13" s="10" t="inlineStr">
        <x:is>
          <x:t xml:space="preserve">Memastikan kepatuhan regulasi dan internal control yang relevan.</x:t>
        </x:is>
      </x:c>
      <x:c r="F13" s="10" t="inlineStr">
        <x:is>
          <x:t xml:space="preserve">Compliance monitoring; audits; training; documentation.</x:t>
        </x:is>
      </x:c>
      <x:c r="G13" s="10" t="inlineStr">
        <x:is>
          <x:t xml:space="preserve">Compliance frameworks, documentation, communication.</x:t>
        </x:is>
      </x:c>
      <x:c r="H13" s="10" t="inlineStr">
        <x:is>
          <x:t xml:space="preserve">Audit findings, compliance completion rate.</x:t>
        </x:is>
      </x:c>
      <x:c r="I13" s="10" t="inlineStr">
        <x:is>
          <x:t xml:space="preserve">Hybrid</x:t>
        </x:is>
      </x:c>
      <x:c r="J13" s="10" t="inlineStr">
        <x:is>
          <x:t xml:space="preserve">Employee</x:t>
        </x:is>
      </x:c>
      <x:c r="K13" s="10" t="inlineStr">
        <x:is>
          <x:t xml:space="preserve"/>
        </x:is>
      </x:c>
      <x:c r="L13" s="11">
        <x:f>Assumptions!$B$2*VLOOKUP(D13,Assumptions!$A$10:$B$18,2,FALSE)*VLOOKUP(B13,Assumptions!$A$22:$B$39,2,FALSE)</x:f>
        <x:v>20700000</x:v>
      </x:c>
      <x:c r="M13" s="11">
        <x:f>L13*(1-Assumptions!$B$3/2)</x:f>
        <x:v>18630000</x:v>
      </x:c>
      <x:c r="N13" s="11">
        <x:f>L13*(1+Assumptions!$B$3/2)</x:f>
        <x:v>22770000</x:v>
      </x:c>
      <x:c r="O13" s="11">
        <x:f>(L13/Assumptions!$B$4/Assumptions!$B$5)*Assumptions!$B$6</x:f>
        <x:v>188181.8181818182</x:v>
      </x:c>
      <x:c r="P13" s="11">
        <x:f>(L13/Assumptions!$B$4)*Assumptions!$B$6</x:f>
        <x:v>1505454.5454545456</x:v>
      </x:c>
      <x:c r="Q13" s="11">
        <x:f>L13*Assumptions!$B$6</x:f>
        <x:v>33120000</x:v>
      </x:c>
      <x:c r="R13" s="10" t="inlineStr">
        <x:is>
          <x:t xml:space="preserve"/>
        </x:is>
      </x:c>
    </x:row>
    <x:row r="14" ht="72" customHeight="1">
      <x:c r="A14" s="10" t="inlineStr">
        <x:is>
          <x:t xml:space="preserve">Partnerships</x:t>
        </x:is>
      </x:c>
      <x:c r="B14" s="10" t="inlineStr">
        <x:is>
          <x:t xml:space="preserve">Partnerships</x:t>
        </x:is>
      </x:c>
      <x:c r="C14" s="10" t="inlineStr">
        <x:is>
          <x:t xml:space="preserve">Partnerships Manager</x:t>
        </x:is>
      </x:c>
      <x:c r="D14" s="10" t="inlineStr">
        <x:is>
          <x:t xml:space="preserve">Senior</x:t>
        </x:is>
      </x:c>
      <x:c r="E14" s="10" t="inlineStr">
        <x:is>
          <x:t xml:space="preserve">Membangun dan mengelola kemitraan strategis untuk mempercepat growth.</x:t>
        </x:is>
      </x:c>
      <x:c r="F14" s="10" t="inlineStr">
        <x:is>
          <x:t xml:space="preserve">Identify partners; negotiate; launch initiatives; manage joint KPIs.</x:t>
        </x:is>
      </x:c>
      <x:c r="G14" s="10" t="inlineStr">
        <x:is>
          <x:t xml:space="preserve">Negotiation, business development, relationship mgmt.</x:t>
        </x:is>
      </x:c>
      <x:c r="H14" s="10" t="inlineStr">
        <x:is>
          <x:t xml:space="preserve">Partner-sourced revenue/leads, activation rate.</x:t>
        </x:is>
      </x:c>
      <x:c r="I14" s="10" t="inlineStr">
        <x:is>
          <x:t xml:space="preserve">Hybrid</x:t>
        </x:is>
      </x:c>
      <x:c r="J14" s="10" t="inlineStr">
        <x:is>
          <x:t xml:space="preserve">Employee</x:t>
        </x:is>
      </x:c>
      <x:c r="K14" s="10" t="inlineStr">
        <x:is>
          <x:t xml:space="preserve"/>
        </x:is>
      </x:c>
      <x:c r="L14" s="11">
        <x:f>Assumptions!$B$2*VLOOKUP(D14,Assumptions!$A$10:$B$18,2,FALSE)*VLOOKUP(B14,Assumptions!$A$22:$B$39,2,FALSE)</x:f>
        <x:v>25515000</x:v>
      </x:c>
      <x:c r="M14" s="11">
        <x:f>L14*(1-Assumptions!$B$3/2)</x:f>
        <x:v>22963500</x:v>
      </x:c>
      <x:c r="N14" s="11">
        <x:f>L14*(1+Assumptions!$B$3/2)</x:f>
        <x:v>28066500.000000004</x:v>
      </x:c>
      <x:c r="O14" s="11">
        <x:f>(L14/Assumptions!$B$4/Assumptions!$B$5)*Assumptions!$B$6</x:f>
        <x:v>231954.54545454547</x:v>
      </x:c>
      <x:c r="P14" s="11">
        <x:f>(L14/Assumptions!$B$4)*Assumptions!$B$6</x:f>
        <x:v>1855636.3636363638</x:v>
      </x:c>
      <x:c r="Q14" s="11">
        <x:f>L14*Assumptions!$B$6</x:f>
        <x:v>40824000</x:v>
      </x:c>
      <x:c r="R14" s="10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1ba43bef2004325"/>
  </x:tableParts>
</x:worksheet>
</file>